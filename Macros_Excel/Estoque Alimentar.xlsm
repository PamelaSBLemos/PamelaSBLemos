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H:\Drives compartilhados\Pamela\Lenovo_SDPCAD-0020K\Geral\Alimentar\Producao\2.0\"/>
    </mc:Choice>
  </mc:AlternateContent>
  <bookViews>
    <workbookView xWindow="0" yWindow="0" windowWidth="21600" windowHeight="10290" tabRatio="921" firstSheet="3" activeTab="11"/>
  </bookViews>
  <sheets>
    <sheet name="CADASTRO" sheetId="1" r:id="rId1"/>
    <sheet name="ENTRADA | SAIDA" sheetId="6" r:id="rId2"/>
    <sheet name="ESTOQUE" sheetId="7" r:id="rId3"/>
    <sheet name="CESTAS" sheetId="12" r:id="rId4"/>
    <sheet name="MONTAGEM CESTA" sheetId="8" r:id="rId5"/>
    <sheet name="CESTAS MONTADAS" sheetId="13" r:id="rId6"/>
    <sheet name="RELATORIOS" sheetId="9" r:id="rId7"/>
    <sheet name="DASHBOARD GERAL" sheetId="15" r:id="rId8"/>
    <sheet name="DASHBOARD CESTAS" sheetId="14" r:id="rId9"/>
    <sheet name="Lista" sheetId="11" state="hidden" r:id="rId10"/>
    <sheet name="ESTOQUE PRINCIPAL CESTAS" sheetId="19" r:id="rId11"/>
    <sheet name="SEPARAÇÃO DE CESTAS" sheetId="17" r:id="rId12"/>
    <sheet name="ABASTECIMENTO POSTOS" sheetId="18" r:id="rId13"/>
  </sheets>
  <externalReferences>
    <externalReference r:id="rId14"/>
  </externalReferences>
  <definedNames>
    <definedName name="_xlnm._FilterDatabase" localSheetId="3" hidden="1">CESTAS!$B$7:$M$107</definedName>
    <definedName name="ITENS_CESTA" localSheetId="9">Lista!$D:$D</definedName>
    <definedName name="Tela_Zoom" localSheetId="0">CADASTRO!$A$1:$J$19</definedName>
    <definedName name="Tela_Zoom" localSheetId="3">CESTAS!$A$1:$M$24</definedName>
    <definedName name="Tela_Zoom" localSheetId="5">'CESTAS MONTADAS'!$A$1:$U$49</definedName>
    <definedName name="Tela_Zoom" localSheetId="8">'DASHBOARD CESTAS'!$A$1:$P$17</definedName>
    <definedName name="Tela_Zoom" localSheetId="7">'DASHBOARD GERAL'!$A$1:$AA$28</definedName>
    <definedName name="Tela_Zoom" localSheetId="1">'ENTRADA | SAIDA'!$A$1:$L$142</definedName>
    <definedName name="Tela_Zoom" localSheetId="2">ESTOQUE!$A$1:$M$25</definedName>
    <definedName name="Tela_Zoom" localSheetId="4">'MONTAGEM CESTA'!$A$1:$N$21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3" l="1"/>
  <c r="H8" i="6"/>
  <c r="C7" i="17"/>
  <c r="C11" i="14"/>
  <c r="M11" i="14"/>
  <c r="K11" i="14"/>
  <c r="I11" i="14"/>
  <c r="G11" i="14"/>
  <c r="E11" i="14"/>
  <c r="D36" i="19" l="1"/>
  <c r="M12" i="19" l="1"/>
  <c r="C12" i="17" s="1"/>
  <c r="X13" i="17"/>
  <c r="X12" i="17"/>
  <c r="X11" i="17"/>
  <c r="X10" i="17"/>
  <c r="X9" i="17"/>
  <c r="X14" i="17" l="1"/>
  <c r="Q13" i="19" l="1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C36" i="19" l="1"/>
  <c r="C37" i="19" s="1"/>
  <c r="L36" i="19"/>
  <c r="J36" i="19"/>
  <c r="G36" i="19"/>
  <c r="I36" i="19"/>
  <c r="F36" i="19"/>
  <c r="E36" i="19"/>
  <c r="K36" i="19"/>
  <c r="H36" i="19"/>
  <c r="H8" i="17"/>
  <c r="H7" i="17" s="1"/>
  <c r="C7" i="1"/>
  <c r="G37" i="19" l="1"/>
  <c r="E8" i="19" s="1"/>
  <c r="X22" i="17" s="1"/>
  <c r="K37" i="19"/>
  <c r="G8" i="19" s="1"/>
  <c r="X24" i="17" s="1"/>
  <c r="E37" i="19"/>
  <c r="D8" i="19" s="1"/>
  <c r="X21" i="17" s="1"/>
  <c r="C8" i="19"/>
  <c r="X20" i="17" s="1"/>
  <c r="I37" i="19"/>
  <c r="F8" i="19" s="1"/>
  <c r="X23" i="17" s="1"/>
  <c r="C19" i="17"/>
  <c r="G19" i="17"/>
  <c r="K19" i="17"/>
  <c r="O19" i="17"/>
  <c r="S19" i="17"/>
  <c r="C27" i="17"/>
  <c r="G27" i="17"/>
  <c r="K27" i="17"/>
  <c r="O27" i="17"/>
  <c r="S27" i="17"/>
  <c r="C35" i="17"/>
  <c r="G35" i="17"/>
  <c r="K35" i="17"/>
  <c r="O35" i="17"/>
  <c r="S35" i="17"/>
  <c r="C43" i="17"/>
  <c r="G43" i="17"/>
  <c r="K43" i="17"/>
  <c r="O43" i="17"/>
  <c r="S43" i="17"/>
  <c r="X25" i="17" l="1"/>
  <c r="C38" i="19"/>
  <c r="H8" i="19" s="1"/>
  <c r="E8" i="8"/>
  <c r="G9" i="8" s="1"/>
  <c r="G8" i="8" s="1"/>
  <c r="L4" i="7"/>
  <c r="D42" i="8"/>
  <c r="D83" i="8"/>
  <c r="C83" i="8"/>
  <c r="H72" i="8"/>
  <c r="H73" i="8"/>
  <c r="H74" i="8"/>
  <c r="H75" i="8"/>
  <c r="H76" i="8"/>
  <c r="H77" i="8"/>
  <c r="H78" i="8"/>
  <c r="H71" i="8"/>
  <c r="D72" i="8"/>
  <c r="D73" i="8"/>
  <c r="D74" i="8"/>
  <c r="D75" i="8"/>
  <c r="D76" i="8"/>
  <c r="D77" i="8"/>
  <c r="D78" i="8"/>
  <c r="D79" i="8"/>
  <c r="D71" i="8"/>
  <c r="C72" i="8"/>
  <c r="C73" i="8"/>
  <c r="C74" i="8"/>
  <c r="C75" i="8"/>
  <c r="C76" i="8"/>
  <c r="C77" i="8"/>
  <c r="C78" i="8"/>
  <c r="C79" i="8"/>
  <c r="C71" i="8"/>
  <c r="G47" i="8"/>
  <c r="G60" i="8"/>
  <c r="G61" i="8"/>
  <c r="G62" i="8"/>
  <c r="G63" i="8"/>
  <c r="G64" i="8"/>
  <c r="G65" i="8"/>
  <c r="G66" i="8"/>
  <c r="G67" i="8"/>
  <c r="G59" i="8"/>
  <c r="F60" i="8"/>
  <c r="F61" i="8"/>
  <c r="F62" i="8"/>
  <c r="F63" i="8"/>
  <c r="F64" i="8"/>
  <c r="F65" i="8"/>
  <c r="F66" i="8"/>
  <c r="F67" i="8"/>
  <c r="F59" i="8"/>
  <c r="G42" i="8"/>
  <c r="G35" i="8"/>
  <c r="G36" i="8"/>
  <c r="G37" i="8"/>
  <c r="G38" i="8"/>
  <c r="G39" i="8"/>
  <c r="G40" i="8"/>
  <c r="G41" i="8"/>
  <c r="G34" i="8"/>
  <c r="G26" i="8"/>
  <c r="G27" i="8"/>
  <c r="G28" i="8"/>
  <c r="G29" i="8"/>
  <c r="G30" i="8"/>
  <c r="G31" i="8"/>
  <c r="G32" i="8"/>
  <c r="G33" i="8"/>
  <c r="G25" i="8"/>
  <c r="B15" i="15"/>
  <c r="T1" i="11"/>
  <c r="S34" i="15"/>
  <c r="K34" i="15"/>
  <c r="F22" i="15"/>
  <c r="F45" i="15" s="1"/>
  <c r="J22" i="15"/>
  <c r="F48" i="15" s="1"/>
  <c r="G22" i="15"/>
  <c r="F46" i="15" s="1"/>
  <c r="C22" i="15"/>
  <c r="F43" i="15" s="1"/>
  <c r="G13" i="8" l="1"/>
  <c r="F13" i="8"/>
  <c r="I72" i="8" l="1"/>
  <c r="D35" i="8"/>
  <c r="I71" i="8"/>
  <c r="D34" i="8"/>
  <c r="BF4" i="11"/>
  <c r="BF5" i="11"/>
  <c r="BF6" i="11"/>
  <c r="BF7" i="11"/>
  <c r="BF8" i="11"/>
  <c r="BF9" i="11"/>
  <c r="BF10" i="11"/>
  <c r="BF11" i="11"/>
  <c r="BF3" i="11"/>
  <c r="Y9" i="15"/>
  <c r="Y10" i="15"/>
  <c r="Y11" i="15"/>
  <c r="Y12" i="15"/>
  <c r="Y13" i="15"/>
  <c r="Y14" i="15"/>
  <c r="Y15" i="15"/>
  <c r="Y16" i="15"/>
  <c r="Y8" i="15"/>
  <c r="Z53" i="11"/>
  <c r="AA53" i="11" s="1"/>
  <c r="Z57" i="11"/>
  <c r="AA57" i="11" s="1"/>
  <c r="X53" i="11"/>
  <c r="X54" i="11"/>
  <c r="X55" i="11"/>
  <c r="X56" i="11"/>
  <c r="X57" i="11"/>
  <c r="X58" i="11"/>
  <c r="X59" i="11"/>
  <c r="X52" i="11"/>
  <c r="W53" i="11"/>
  <c r="AB59" i="11"/>
  <c r="AB58" i="11"/>
  <c r="AC58" i="11" s="1"/>
  <c r="AB57" i="11"/>
  <c r="AC57" i="11" s="1"/>
  <c r="AB56" i="11"/>
  <c r="AB55" i="11"/>
  <c r="AC55" i="11" s="1"/>
  <c r="AB54" i="11"/>
  <c r="AC54" i="11" s="1"/>
  <c r="AB53" i="11"/>
  <c r="AC53" i="11" s="1"/>
  <c r="AB52" i="11"/>
  <c r="AC52" i="11" s="1"/>
  <c r="O9" i="15"/>
  <c r="O10" i="15"/>
  <c r="O11" i="15"/>
  <c r="O12" i="15"/>
  <c r="O13" i="15"/>
  <c r="O14" i="15"/>
  <c r="O15" i="15"/>
  <c r="O16" i="15"/>
  <c r="O8" i="15"/>
  <c r="J9" i="15"/>
  <c r="J10" i="15"/>
  <c r="J11" i="15"/>
  <c r="J12" i="15"/>
  <c r="J13" i="15"/>
  <c r="J14" i="15"/>
  <c r="J15" i="15"/>
  <c r="J16" i="15"/>
  <c r="J8" i="15"/>
  <c r="P53" i="11"/>
  <c r="P54" i="11"/>
  <c r="Z54" i="11" s="1"/>
  <c r="AA54" i="11" s="1"/>
  <c r="P55" i="11"/>
  <c r="Z55" i="11" s="1"/>
  <c r="P56" i="11"/>
  <c r="Z56" i="11" s="1"/>
  <c r="P57" i="11"/>
  <c r="P58" i="11"/>
  <c r="Z58" i="11" s="1"/>
  <c r="AA58" i="11" s="1"/>
  <c r="P59" i="11"/>
  <c r="Z59" i="11" s="1"/>
  <c r="AA59" i="11" s="1"/>
  <c r="AD59" i="11" s="1"/>
  <c r="P52" i="11"/>
  <c r="Z52" i="11" s="1"/>
  <c r="AA52" i="11" s="1"/>
  <c r="BF19" i="11"/>
  <c r="BF20" i="11"/>
  <c r="BF21" i="11"/>
  <c r="BF22" i="11"/>
  <c r="BF23" i="11"/>
  <c r="BF24" i="11"/>
  <c r="BF25" i="11"/>
  <c r="BF26" i="11"/>
  <c r="BF18" i="11"/>
  <c r="BD19" i="11"/>
  <c r="BD20" i="11"/>
  <c r="BD21" i="11"/>
  <c r="BD22" i="11"/>
  <c r="BD23" i="11"/>
  <c r="BD24" i="11"/>
  <c r="BD25" i="11"/>
  <c r="BD26" i="11"/>
  <c r="BD18" i="11"/>
  <c r="BC19" i="11"/>
  <c r="BC20" i="11"/>
  <c r="BC21" i="11"/>
  <c r="BC22" i="11"/>
  <c r="BC23" i="11"/>
  <c r="BC24" i="11"/>
  <c r="BC25" i="11"/>
  <c r="BC26" i="11"/>
  <c r="BC18" i="11"/>
  <c r="BB19" i="11"/>
  <c r="BE19" i="11" s="1"/>
  <c r="BB20" i="11"/>
  <c r="BB21" i="11"/>
  <c r="BB22" i="11"/>
  <c r="BB23" i="11"/>
  <c r="BB24" i="11"/>
  <c r="BB25" i="11"/>
  <c r="BB26" i="11"/>
  <c r="BB18" i="11"/>
  <c r="BE18" i="11" s="1"/>
  <c r="BA19" i="11"/>
  <c r="BA20" i="11"/>
  <c r="BA21" i="11"/>
  <c r="BA22" i="11"/>
  <c r="BA23" i="11"/>
  <c r="BA24" i="11"/>
  <c r="BA25" i="11"/>
  <c r="BA26" i="11"/>
  <c r="BA18" i="11"/>
  <c r="AZ19" i="11"/>
  <c r="AZ20" i="11"/>
  <c r="AZ21" i="11"/>
  <c r="AZ22" i="11"/>
  <c r="AZ23" i="11"/>
  <c r="AZ24" i="11"/>
  <c r="AZ25" i="11"/>
  <c r="AZ26" i="11"/>
  <c r="AZ18" i="11"/>
  <c r="AV19" i="11"/>
  <c r="AV20" i="11"/>
  <c r="AV21" i="11"/>
  <c r="AV22" i="11"/>
  <c r="AV23" i="11"/>
  <c r="AV24" i="11"/>
  <c r="AV25" i="11"/>
  <c r="AV26" i="11"/>
  <c r="AV18" i="11"/>
  <c r="AT19" i="11"/>
  <c r="AT20" i="11"/>
  <c r="AT21" i="11"/>
  <c r="AT22" i="11"/>
  <c r="AT23" i="11"/>
  <c r="AT24" i="11"/>
  <c r="AT25" i="11"/>
  <c r="AT26" i="11"/>
  <c r="AS19" i="11"/>
  <c r="AS20" i="11"/>
  <c r="AS21" i="11"/>
  <c r="AS22" i="11"/>
  <c r="AS23" i="11"/>
  <c r="AS24" i="11"/>
  <c r="AS25" i="11"/>
  <c r="AS26" i="11"/>
  <c r="AR19" i="11"/>
  <c r="AR20" i="11"/>
  <c r="AR21" i="11"/>
  <c r="AU21" i="11" s="1"/>
  <c r="AR22" i="11"/>
  <c r="AR23" i="11"/>
  <c r="AR24" i="11"/>
  <c r="AU24" i="11" s="1"/>
  <c r="AR25" i="11"/>
  <c r="AU25" i="11" s="1"/>
  <c r="AR26" i="11"/>
  <c r="AQ19" i="11"/>
  <c r="AQ20" i="11"/>
  <c r="AQ21" i="11"/>
  <c r="AQ22" i="11"/>
  <c r="AQ23" i="11"/>
  <c r="AQ24" i="11"/>
  <c r="AQ25" i="11"/>
  <c r="AQ26" i="11"/>
  <c r="AT18" i="11"/>
  <c r="AS18" i="11"/>
  <c r="AR18" i="11"/>
  <c r="AQ18" i="11"/>
  <c r="AP19" i="11"/>
  <c r="AP20" i="11"/>
  <c r="AP21" i="11"/>
  <c r="AP22" i="11"/>
  <c r="AP23" i="11"/>
  <c r="AP24" i="11"/>
  <c r="AP25" i="11"/>
  <c r="AP26" i="11"/>
  <c r="AP18" i="11"/>
  <c r="BD4" i="11"/>
  <c r="BD5" i="11"/>
  <c r="BD6" i="11"/>
  <c r="BD7" i="11"/>
  <c r="BD8" i="11"/>
  <c r="BD9" i="11"/>
  <c r="BD10" i="11"/>
  <c r="BD11" i="11"/>
  <c r="BD3" i="11"/>
  <c r="BC4" i="11"/>
  <c r="BC5" i="11"/>
  <c r="BC6" i="11"/>
  <c r="BC7" i="11"/>
  <c r="BC8" i="11"/>
  <c r="BC9" i="11"/>
  <c r="BC10" i="11"/>
  <c r="BC11" i="11"/>
  <c r="BC3" i="11"/>
  <c r="BB4" i="11"/>
  <c r="BB5" i="11"/>
  <c r="BB6" i="11"/>
  <c r="BB7" i="11"/>
  <c r="BB8" i="11"/>
  <c r="BB9" i="11"/>
  <c r="BB10" i="11"/>
  <c r="BB11" i="11"/>
  <c r="BB3" i="11"/>
  <c r="BA4" i="11"/>
  <c r="BA5" i="11"/>
  <c r="BA6" i="11"/>
  <c r="BA7" i="11"/>
  <c r="BA8" i="11"/>
  <c r="BA9" i="11"/>
  <c r="BA10" i="11"/>
  <c r="BA11" i="11"/>
  <c r="BA3" i="11"/>
  <c r="AZ4" i="11"/>
  <c r="AZ5" i="11"/>
  <c r="AZ6" i="11"/>
  <c r="AZ7" i="11"/>
  <c r="AZ8" i="11"/>
  <c r="AZ9" i="11"/>
  <c r="AZ10" i="11"/>
  <c r="AZ11" i="11"/>
  <c r="AZ3" i="11"/>
  <c r="AT4" i="11"/>
  <c r="AT5" i="11"/>
  <c r="AT6" i="11"/>
  <c r="AT7" i="11"/>
  <c r="AT8" i="11"/>
  <c r="AT9" i="11"/>
  <c r="AT10" i="11"/>
  <c r="AT11" i="11"/>
  <c r="AS4" i="11"/>
  <c r="AS5" i="11"/>
  <c r="AS6" i="11"/>
  <c r="AS7" i="11"/>
  <c r="AS8" i="11"/>
  <c r="AS9" i="11"/>
  <c r="AS10" i="11"/>
  <c r="AS11" i="11"/>
  <c r="AR4" i="11"/>
  <c r="AU4" i="11" s="1"/>
  <c r="AR5" i="11"/>
  <c r="AU5" i="11" s="1"/>
  <c r="AR6" i="11"/>
  <c r="AU6" i="11" s="1"/>
  <c r="AR7" i="11"/>
  <c r="AU7" i="11" s="1"/>
  <c r="AR8" i="11"/>
  <c r="AU8" i="11" s="1"/>
  <c r="AR9" i="11"/>
  <c r="AU9" i="11" s="1"/>
  <c r="AR10" i="11"/>
  <c r="AU10" i="11" s="1"/>
  <c r="AR11" i="11"/>
  <c r="AU11" i="11" s="1"/>
  <c r="AR3" i="11"/>
  <c r="AQ3" i="11"/>
  <c r="T8" i="15" s="1"/>
  <c r="AP3" i="11"/>
  <c r="AS3" i="11"/>
  <c r="AT3" i="11"/>
  <c r="R31" i="11"/>
  <c r="E83" i="8" s="1"/>
  <c r="P31" i="11"/>
  <c r="D60" i="8"/>
  <c r="D61" i="8"/>
  <c r="D62" i="8"/>
  <c r="D63" i="8"/>
  <c r="D64" i="8"/>
  <c r="D65" i="8"/>
  <c r="D66" i="8"/>
  <c r="D67" i="8"/>
  <c r="D59" i="8"/>
  <c r="G48" i="8"/>
  <c r="G49" i="8"/>
  <c r="G50" i="8"/>
  <c r="G51" i="8"/>
  <c r="G52" i="8"/>
  <c r="G53" i="8"/>
  <c r="G54" i="8"/>
  <c r="G55" i="8"/>
  <c r="R19" i="11"/>
  <c r="R20" i="11"/>
  <c r="R21" i="11"/>
  <c r="R22" i="11"/>
  <c r="R23" i="11"/>
  <c r="R24" i="11"/>
  <c r="R25" i="11"/>
  <c r="R26" i="11"/>
  <c r="R18" i="11"/>
  <c r="AB19" i="11"/>
  <c r="AB20" i="11"/>
  <c r="AB21" i="11"/>
  <c r="AB22" i="11"/>
  <c r="AB23" i="11"/>
  <c r="AB24" i="11"/>
  <c r="AB25" i="11"/>
  <c r="AB26" i="11"/>
  <c r="AB18" i="11"/>
  <c r="X4" i="11"/>
  <c r="X5" i="11"/>
  <c r="X6" i="11"/>
  <c r="X7" i="11"/>
  <c r="X8" i="11"/>
  <c r="X9" i="11"/>
  <c r="X10" i="11"/>
  <c r="X11" i="11"/>
  <c r="AL19" i="11"/>
  <c r="AL20" i="11"/>
  <c r="AL21" i="11"/>
  <c r="AL22" i="11"/>
  <c r="AL23" i="11"/>
  <c r="AL24" i="11"/>
  <c r="AL25" i="11"/>
  <c r="AL26" i="11"/>
  <c r="AL18" i="11"/>
  <c r="AL4" i="11"/>
  <c r="AL5" i="11"/>
  <c r="AL6" i="11"/>
  <c r="AL7" i="11"/>
  <c r="AL8" i="11"/>
  <c r="AL9" i="11"/>
  <c r="AL10" i="11"/>
  <c r="AL11" i="11"/>
  <c r="AL3" i="11"/>
  <c r="AJ4" i="11"/>
  <c r="AJ19" i="11" s="1"/>
  <c r="AJ5" i="11"/>
  <c r="AJ20" i="11" s="1"/>
  <c r="AJ6" i="11"/>
  <c r="AJ21" i="11" s="1"/>
  <c r="AJ7" i="11"/>
  <c r="AJ22" i="11" s="1"/>
  <c r="AJ8" i="11"/>
  <c r="AJ23" i="11" s="1"/>
  <c r="AJ9" i="11"/>
  <c r="AJ24" i="11" s="1"/>
  <c r="AJ10" i="11"/>
  <c r="AJ25" i="11" s="1"/>
  <c r="AJ11" i="11"/>
  <c r="AJ26" i="11" s="1"/>
  <c r="AJ3" i="11"/>
  <c r="AJ18" i="11" s="1"/>
  <c r="AH4" i="11"/>
  <c r="AH19" i="11" s="1"/>
  <c r="C60" i="8" s="1"/>
  <c r="AH5" i="11"/>
  <c r="AH20" i="11" s="1"/>
  <c r="C61" i="8" s="1"/>
  <c r="AH6" i="11"/>
  <c r="AH21" i="11" s="1"/>
  <c r="C62" i="8" s="1"/>
  <c r="AH7" i="11"/>
  <c r="AH22" i="11" s="1"/>
  <c r="C63" i="8" s="1"/>
  <c r="AH8" i="11"/>
  <c r="AH23" i="11" s="1"/>
  <c r="C64" i="8" s="1"/>
  <c r="AH9" i="11"/>
  <c r="AH24" i="11" s="1"/>
  <c r="C65" i="8" s="1"/>
  <c r="AH10" i="11"/>
  <c r="AH25" i="11" s="1"/>
  <c r="C66" i="8" s="1"/>
  <c r="AH11" i="11"/>
  <c r="AH26" i="11" s="1"/>
  <c r="C67" i="8" s="1"/>
  <c r="AH3" i="11"/>
  <c r="AH18" i="11" s="1"/>
  <c r="C59" i="8" s="1"/>
  <c r="AB4" i="11"/>
  <c r="AB5" i="11"/>
  <c r="AB6" i="11"/>
  <c r="AB7" i="11"/>
  <c r="AB8" i="11"/>
  <c r="AB9" i="11"/>
  <c r="AB10" i="11"/>
  <c r="AB11" i="11"/>
  <c r="AB3" i="11"/>
  <c r="Z4" i="11"/>
  <c r="Z19" i="11" s="1"/>
  <c r="Z5" i="11"/>
  <c r="Z20" i="11" s="1"/>
  <c r="Z6" i="11"/>
  <c r="Z21" i="11" s="1"/>
  <c r="Z7" i="11"/>
  <c r="Z22" i="11" s="1"/>
  <c r="Z8" i="11"/>
  <c r="Z23" i="11" s="1"/>
  <c r="Z9" i="11"/>
  <c r="Z24" i="11" s="1"/>
  <c r="Z10" i="11"/>
  <c r="Z25" i="11" s="1"/>
  <c r="Z11" i="11"/>
  <c r="Z26" i="11" s="1"/>
  <c r="Z3" i="11"/>
  <c r="Z18" i="11" s="1"/>
  <c r="X3" i="11"/>
  <c r="R4" i="11"/>
  <c r="R5" i="11"/>
  <c r="R6" i="11"/>
  <c r="R7" i="11"/>
  <c r="R8" i="11"/>
  <c r="R9" i="11"/>
  <c r="R10" i="11"/>
  <c r="R11" i="11"/>
  <c r="R3" i="11"/>
  <c r="N4" i="11"/>
  <c r="N19" i="11" s="1"/>
  <c r="N5" i="11"/>
  <c r="N20" i="11" s="1"/>
  <c r="N6" i="11"/>
  <c r="N21" i="11" s="1"/>
  <c r="N7" i="11"/>
  <c r="N22" i="11" s="1"/>
  <c r="N8" i="11"/>
  <c r="N23" i="11" s="1"/>
  <c r="N9" i="11"/>
  <c r="N24" i="11" s="1"/>
  <c r="N10" i="11"/>
  <c r="N25" i="11" s="1"/>
  <c r="N11" i="11"/>
  <c r="N26" i="11" s="1"/>
  <c r="N3" i="11"/>
  <c r="N18" i="11" s="1"/>
  <c r="L53" i="11"/>
  <c r="V53" i="11" s="1"/>
  <c r="L54" i="11"/>
  <c r="V54" i="11" s="1"/>
  <c r="L55" i="11"/>
  <c r="V55" i="11" s="1"/>
  <c r="L56" i="11"/>
  <c r="V56" i="11" s="1"/>
  <c r="L57" i="11"/>
  <c r="V57" i="11" s="1"/>
  <c r="L58" i="11"/>
  <c r="V58" i="11" s="1"/>
  <c r="L59" i="11"/>
  <c r="V59" i="11" s="1"/>
  <c r="L52" i="11"/>
  <c r="V52" i="11" s="1"/>
  <c r="M54" i="11"/>
  <c r="M55" i="11"/>
  <c r="M56" i="11"/>
  <c r="W56" i="11" s="1"/>
  <c r="M57" i="11"/>
  <c r="M58" i="11"/>
  <c r="M59" i="11"/>
  <c r="M53" i="11"/>
  <c r="M52" i="11"/>
  <c r="W52" i="11" s="1"/>
  <c r="M4" i="11"/>
  <c r="M19" i="11" s="1"/>
  <c r="E9" i="15" s="1"/>
  <c r="M5" i="11"/>
  <c r="M20" i="11" s="1"/>
  <c r="E10" i="15" s="1"/>
  <c r="M6" i="11"/>
  <c r="M21" i="11" s="1"/>
  <c r="E11" i="15" s="1"/>
  <c r="M7" i="11"/>
  <c r="M22" i="11" s="1"/>
  <c r="E12" i="15" s="1"/>
  <c r="M8" i="11"/>
  <c r="M23" i="11" s="1"/>
  <c r="E13" i="15" s="1"/>
  <c r="M9" i="11"/>
  <c r="M24" i="11" s="1"/>
  <c r="E14" i="15" s="1"/>
  <c r="M10" i="11"/>
  <c r="M25" i="11" s="1"/>
  <c r="E15" i="15" s="1"/>
  <c r="M11" i="11"/>
  <c r="M26" i="11" s="1"/>
  <c r="E16" i="15" s="1"/>
  <c r="M3" i="11"/>
  <c r="M18" i="11" s="1"/>
  <c r="E8" i="15" s="1"/>
  <c r="F2" i="11"/>
  <c r="D48" i="8"/>
  <c r="D49" i="8"/>
  <c r="D50" i="8"/>
  <c r="D51" i="8"/>
  <c r="D52" i="8"/>
  <c r="D53" i="8"/>
  <c r="D54" i="8"/>
  <c r="D55" i="8"/>
  <c r="D47" i="8"/>
  <c r="C48" i="8"/>
  <c r="C49" i="8"/>
  <c r="C50" i="8"/>
  <c r="C51" i="8"/>
  <c r="C52" i="8"/>
  <c r="C53" i="8"/>
  <c r="C54" i="8"/>
  <c r="C55" i="8"/>
  <c r="C47" i="8"/>
  <c r="L14" i="8"/>
  <c r="I16" i="8"/>
  <c r="D41" i="8" s="1"/>
  <c r="H16" i="8"/>
  <c r="D40" i="8" s="1"/>
  <c r="G16" i="8"/>
  <c r="D39" i="8" s="1"/>
  <c r="F16" i="8"/>
  <c r="D38" i="8" s="1"/>
  <c r="I13" i="8"/>
  <c r="D37" i="8" s="1"/>
  <c r="H13" i="8"/>
  <c r="D36" i="8" s="1"/>
  <c r="R53" i="11"/>
  <c r="AC56" i="11" l="1"/>
  <c r="AC59" i="11"/>
  <c r="AD57" i="11"/>
  <c r="AD53" i="11"/>
  <c r="AX24" i="11"/>
  <c r="AW20" i="11"/>
  <c r="H61" i="8" s="1"/>
  <c r="R56" i="11"/>
  <c r="I75" i="8"/>
  <c r="R55" i="11"/>
  <c r="I74" i="8"/>
  <c r="R58" i="11"/>
  <c r="I77" i="8"/>
  <c r="R59" i="11"/>
  <c r="I78" i="8"/>
  <c r="R57" i="11"/>
  <c r="I76" i="8"/>
  <c r="R54" i="11"/>
  <c r="I73" i="8"/>
  <c r="BG21" i="11"/>
  <c r="E74" i="8" s="1"/>
  <c r="AD54" i="11"/>
  <c r="AD58" i="11"/>
  <c r="AD52" i="11"/>
  <c r="BG20" i="11"/>
  <c r="E73" i="8" s="1"/>
  <c r="BH18" i="11"/>
  <c r="BG23" i="11"/>
  <c r="E76" i="8" s="1"/>
  <c r="BH19" i="11"/>
  <c r="W59" i="11"/>
  <c r="W55" i="11"/>
  <c r="W58" i="11"/>
  <c r="W54" i="11"/>
  <c r="Q52" i="11"/>
  <c r="W57" i="11"/>
  <c r="AA56" i="11"/>
  <c r="AD56" i="11" s="1"/>
  <c r="AA55" i="11"/>
  <c r="AD55" i="11" s="1"/>
  <c r="AC3" i="11"/>
  <c r="K8" i="15" s="1"/>
  <c r="AX21" i="11"/>
  <c r="AW23" i="11"/>
  <c r="H64" i="8" s="1"/>
  <c r="AW19" i="11"/>
  <c r="H60" i="8" s="1"/>
  <c r="AW26" i="11"/>
  <c r="H67" i="8" s="1"/>
  <c r="AW22" i="11"/>
  <c r="H63" i="8" s="1"/>
  <c r="BE9" i="11"/>
  <c r="BE5" i="11"/>
  <c r="BE24" i="11"/>
  <c r="BH24" i="11" s="1"/>
  <c r="BE26" i="11"/>
  <c r="BH26" i="11" s="1"/>
  <c r="BE22" i="11"/>
  <c r="BH22" i="11" s="1"/>
  <c r="BG18" i="11"/>
  <c r="E71" i="8" s="1"/>
  <c r="AU18" i="11"/>
  <c r="AX18" i="11" s="1"/>
  <c r="BE25" i="11"/>
  <c r="BH25" i="11" s="1"/>
  <c r="BG19" i="11"/>
  <c r="E72" i="8" s="1"/>
  <c r="BE21" i="11"/>
  <c r="BH21" i="11" s="1"/>
  <c r="BE20" i="11"/>
  <c r="BH20" i="11" s="1"/>
  <c r="BE23" i="11"/>
  <c r="BH23" i="11" s="1"/>
  <c r="AW18" i="11"/>
  <c r="H59" i="8" s="1"/>
  <c r="BE10" i="11"/>
  <c r="BE6" i="11"/>
  <c r="BG26" i="11"/>
  <c r="E79" i="8" s="1"/>
  <c r="BG22" i="11"/>
  <c r="E75" i="8" s="1"/>
  <c r="BG25" i="11"/>
  <c r="E78" i="8" s="1"/>
  <c r="AU20" i="11"/>
  <c r="AX20" i="11" s="1"/>
  <c r="AW24" i="11"/>
  <c r="H65" i="8" s="1"/>
  <c r="AW25" i="11"/>
  <c r="H66" i="8" s="1"/>
  <c r="BE3" i="11"/>
  <c r="BE8" i="11"/>
  <c r="BE4" i="11"/>
  <c r="AU3" i="11"/>
  <c r="BE11" i="11"/>
  <c r="BE7" i="11"/>
  <c r="AX25" i="11"/>
  <c r="AU26" i="11"/>
  <c r="AX26" i="11" s="1"/>
  <c r="AU22" i="11"/>
  <c r="AX22" i="11" s="1"/>
  <c r="X18" i="11"/>
  <c r="F47" i="8" s="1"/>
  <c r="BG24" i="11"/>
  <c r="E77" i="8" s="1"/>
  <c r="AU19" i="11"/>
  <c r="AX19" i="11" s="1"/>
  <c r="AW21" i="11"/>
  <c r="H62" i="8" s="1"/>
  <c r="AU23" i="11"/>
  <c r="AX23" i="11" s="1"/>
  <c r="AX16" i="11" l="1"/>
  <c r="BH16" i="11"/>
  <c r="R52" i="11"/>
  <c r="C8" i="8"/>
  <c r="J13" i="12"/>
  <c r="Q8" i="11" s="1"/>
  <c r="Q23" i="11" s="1"/>
  <c r="F13" i="1" l="1"/>
  <c r="Q34" i="15"/>
  <c r="O48" i="12"/>
  <c r="D8" i="12"/>
  <c r="C8" i="12" s="1"/>
  <c r="J8" i="12"/>
  <c r="Q3" i="11" s="1"/>
  <c r="Q18" i="11" s="1"/>
  <c r="L8" i="12"/>
  <c r="D9" i="12"/>
  <c r="C9" i="12" s="1"/>
  <c r="J9" i="12"/>
  <c r="L9" i="12"/>
  <c r="D10" i="12"/>
  <c r="C10" i="12" s="1"/>
  <c r="J10" i="12"/>
  <c r="L10" i="12"/>
  <c r="D11" i="12"/>
  <c r="C11" i="12" s="1"/>
  <c r="J11" i="12"/>
  <c r="L11" i="12"/>
  <c r="D12" i="12"/>
  <c r="C12" i="12" s="1"/>
  <c r="J12" i="12"/>
  <c r="L12" i="12"/>
  <c r="D13" i="12"/>
  <c r="C13" i="12" s="1"/>
  <c r="M13" i="12"/>
  <c r="L13" i="12"/>
  <c r="D14" i="12"/>
  <c r="C14" i="12" s="1"/>
  <c r="J14" i="12"/>
  <c r="L14" i="12"/>
  <c r="D15" i="12"/>
  <c r="C15" i="12" s="1"/>
  <c r="J15" i="12"/>
  <c r="L15" i="12"/>
  <c r="D16" i="12"/>
  <c r="C16" i="12" s="1"/>
  <c r="J16" i="12"/>
  <c r="L16" i="12"/>
  <c r="D17" i="12"/>
  <c r="C17" i="12" s="1"/>
  <c r="J17" i="12"/>
  <c r="AA3" i="11" s="1"/>
  <c r="AA18" i="11" s="1"/>
  <c r="L17" i="12"/>
  <c r="D18" i="12"/>
  <c r="C18" i="12" s="1"/>
  <c r="J18" i="12"/>
  <c r="L18" i="12"/>
  <c r="D19" i="12"/>
  <c r="C19" i="12" s="1"/>
  <c r="J19" i="12"/>
  <c r="L19" i="12"/>
  <c r="D20" i="12"/>
  <c r="C20" i="12" s="1"/>
  <c r="J20" i="12"/>
  <c r="L20" i="12"/>
  <c r="D21" i="12"/>
  <c r="C21" i="12" s="1"/>
  <c r="J21" i="12"/>
  <c r="L21" i="12"/>
  <c r="D22" i="12"/>
  <c r="C22" i="12" s="1"/>
  <c r="J22" i="12"/>
  <c r="L22" i="12"/>
  <c r="D23" i="12"/>
  <c r="C23" i="12" s="1"/>
  <c r="J23" i="12"/>
  <c r="L23" i="12"/>
  <c r="D24" i="12"/>
  <c r="C24" i="12" s="1"/>
  <c r="J24" i="12"/>
  <c r="L24" i="12"/>
  <c r="D25" i="12"/>
  <c r="C25" i="12" s="1"/>
  <c r="J25" i="12"/>
  <c r="L25" i="12"/>
  <c r="D26" i="12"/>
  <c r="C26" i="12" s="1"/>
  <c r="J26" i="12"/>
  <c r="L26" i="12"/>
  <c r="D27" i="12"/>
  <c r="C27" i="12" s="1"/>
  <c r="J27" i="12"/>
  <c r="L27" i="12"/>
  <c r="D28" i="12"/>
  <c r="C28" i="12" s="1"/>
  <c r="J28" i="12"/>
  <c r="L28" i="12"/>
  <c r="D29" i="12"/>
  <c r="C29" i="12" s="1"/>
  <c r="J29" i="12"/>
  <c r="L29" i="12"/>
  <c r="D30" i="12"/>
  <c r="C30" i="12" s="1"/>
  <c r="J30" i="12"/>
  <c r="L30" i="12"/>
  <c r="D31" i="12"/>
  <c r="C31" i="12" s="1"/>
  <c r="J31" i="12"/>
  <c r="L31" i="12"/>
  <c r="D32" i="12"/>
  <c r="C32" i="12" s="1"/>
  <c r="J32" i="12"/>
  <c r="L32" i="12"/>
  <c r="D33" i="12"/>
  <c r="C33" i="12" s="1"/>
  <c r="J33" i="12"/>
  <c r="L33" i="12"/>
  <c r="D34" i="12"/>
  <c r="C34" i="12" s="1"/>
  <c r="J34" i="12"/>
  <c r="L34" i="12"/>
  <c r="D35" i="12"/>
  <c r="C35" i="12" s="1"/>
  <c r="J35" i="12"/>
  <c r="M35" i="12" s="1"/>
  <c r="L35" i="12"/>
  <c r="D36" i="12"/>
  <c r="C36" i="12" s="1"/>
  <c r="J36" i="12"/>
  <c r="M36" i="12" s="1"/>
  <c r="L36" i="12"/>
  <c r="D37" i="12"/>
  <c r="C37" i="12" s="1"/>
  <c r="J37" i="12"/>
  <c r="M37" i="12" s="1"/>
  <c r="L37" i="12"/>
  <c r="D38" i="12"/>
  <c r="C38" i="12" s="1"/>
  <c r="J38" i="12"/>
  <c r="M38" i="12" s="1"/>
  <c r="L38" i="12"/>
  <c r="D39" i="12"/>
  <c r="C39" i="12" s="1"/>
  <c r="J39" i="12"/>
  <c r="M39" i="12" s="1"/>
  <c r="L39" i="12"/>
  <c r="D40" i="12"/>
  <c r="C40" i="12" s="1"/>
  <c r="J40" i="12"/>
  <c r="M40" i="12" s="1"/>
  <c r="L40" i="12"/>
  <c r="D41" i="12"/>
  <c r="C41" i="12" s="1"/>
  <c r="J41" i="12"/>
  <c r="M41" i="12" s="1"/>
  <c r="L41" i="12"/>
  <c r="D42" i="12"/>
  <c r="C42" i="12" s="1"/>
  <c r="J42" i="12"/>
  <c r="M42" i="12" s="1"/>
  <c r="L42" i="12"/>
  <c r="D43" i="12"/>
  <c r="C43" i="12" s="1"/>
  <c r="J43" i="12"/>
  <c r="M43" i="12" s="1"/>
  <c r="L43" i="12"/>
  <c r="D44" i="12"/>
  <c r="C44" i="12" s="1"/>
  <c r="J44" i="12"/>
  <c r="M44" i="12" s="1"/>
  <c r="L44" i="12"/>
  <c r="D45" i="12"/>
  <c r="C45" i="12" s="1"/>
  <c r="J45" i="12"/>
  <c r="M45" i="12" s="1"/>
  <c r="L45" i="12"/>
  <c r="D46" i="12"/>
  <c r="C46" i="12" s="1"/>
  <c r="J46" i="12"/>
  <c r="M46" i="12" s="1"/>
  <c r="L46" i="12"/>
  <c r="D47" i="12"/>
  <c r="C47" i="12" s="1"/>
  <c r="J47" i="12"/>
  <c r="L47" i="12"/>
  <c r="M47" i="12"/>
  <c r="D48" i="12"/>
  <c r="C48" i="12" s="1"/>
  <c r="J48" i="12"/>
  <c r="M48" i="12" s="1"/>
  <c r="L48" i="12"/>
  <c r="D49" i="12"/>
  <c r="C49" i="12" s="1"/>
  <c r="J49" i="12"/>
  <c r="M49" i="12" s="1"/>
  <c r="L49" i="12"/>
  <c r="O49" i="12"/>
  <c r="D50" i="12"/>
  <c r="C50" i="12" s="1"/>
  <c r="J50" i="12"/>
  <c r="M50" i="12" s="1"/>
  <c r="L50" i="12"/>
  <c r="O50" i="12"/>
  <c r="D51" i="12"/>
  <c r="C51" i="12" s="1"/>
  <c r="J51" i="12"/>
  <c r="M51" i="12" s="1"/>
  <c r="L51" i="12"/>
  <c r="O51" i="12"/>
  <c r="D52" i="12"/>
  <c r="C52" i="12" s="1"/>
  <c r="J52" i="12"/>
  <c r="M52" i="12" s="1"/>
  <c r="L52" i="12"/>
  <c r="O52" i="12"/>
  <c r="D53" i="12"/>
  <c r="C53" i="12" s="1"/>
  <c r="J53" i="12"/>
  <c r="M53" i="12" s="1"/>
  <c r="L53" i="12"/>
  <c r="O53" i="12"/>
  <c r="D54" i="12"/>
  <c r="C54" i="12" s="1"/>
  <c r="J54" i="12"/>
  <c r="M54" i="12" s="1"/>
  <c r="L54" i="12"/>
  <c r="O54" i="12"/>
  <c r="D55" i="12"/>
  <c r="C55" i="12" s="1"/>
  <c r="J55" i="12"/>
  <c r="M55" i="12" s="1"/>
  <c r="L55" i="12"/>
  <c r="D56" i="12"/>
  <c r="C56" i="12" s="1"/>
  <c r="J56" i="12"/>
  <c r="M56" i="12" s="1"/>
  <c r="L56" i="12"/>
  <c r="D57" i="12"/>
  <c r="C57" i="12" s="1"/>
  <c r="J57" i="12"/>
  <c r="M57" i="12" s="1"/>
  <c r="L57" i="12"/>
  <c r="D58" i="12"/>
  <c r="C58" i="12" s="1"/>
  <c r="J58" i="12"/>
  <c r="M58" i="12" s="1"/>
  <c r="L58" i="12"/>
  <c r="D59" i="12"/>
  <c r="C59" i="12" s="1"/>
  <c r="J59" i="12"/>
  <c r="M59" i="12" s="1"/>
  <c r="L59" i="12"/>
  <c r="D60" i="12"/>
  <c r="C60" i="12" s="1"/>
  <c r="J60" i="12"/>
  <c r="M60" i="12" s="1"/>
  <c r="L60" i="12"/>
  <c r="D61" i="12"/>
  <c r="C61" i="12" s="1"/>
  <c r="J61" i="12"/>
  <c r="M61" i="12" s="1"/>
  <c r="L61" i="12"/>
  <c r="D62" i="12"/>
  <c r="C62" i="12" s="1"/>
  <c r="J62" i="12"/>
  <c r="M62" i="12" s="1"/>
  <c r="L62" i="12"/>
  <c r="D63" i="12"/>
  <c r="C63" i="12" s="1"/>
  <c r="J63" i="12"/>
  <c r="M63" i="12" s="1"/>
  <c r="L63" i="12"/>
  <c r="D64" i="12"/>
  <c r="C64" i="12" s="1"/>
  <c r="J64" i="12"/>
  <c r="M64" i="12" s="1"/>
  <c r="L64" i="12"/>
  <c r="D65" i="12"/>
  <c r="C65" i="12" s="1"/>
  <c r="J65" i="12"/>
  <c r="M65" i="12" s="1"/>
  <c r="L65" i="12"/>
  <c r="D66" i="12"/>
  <c r="C66" i="12" s="1"/>
  <c r="J66" i="12"/>
  <c r="M66" i="12" s="1"/>
  <c r="L66" i="12"/>
  <c r="D67" i="12"/>
  <c r="C67" i="12" s="1"/>
  <c r="J67" i="12"/>
  <c r="M67" i="12" s="1"/>
  <c r="L67" i="12"/>
  <c r="D68" i="12"/>
  <c r="C68" i="12" s="1"/>
  <c r="J68" i="12"/>
  <c r="M68" i="12" s="1"/>
  <c r="L68" i="12"/>
  <c r="D69" i="12"/>
  <c r="C69" i="12" s="1"/>
  <c r="J69" i="12"/>
  <c r="M69" i="12" s="1"/>
  <c r="L69" i="12"/>
  <c r="D70" i="12"/>
  <c r="C70" i="12" s="1"/>
  <c r="J70" i="12"/>
  <c r="M70" i="12" s="1"/>
  <c r="L70" i="12"/>
  <c r="D71" i="12"/>
  <c r="C71" i="12" s="1"/>
  <c r="J71" i="12"/>
  <c r="M71" i="12" s="1"/>
  <c r="L71" i="12"/>
  <c r="D72" i="12"/>
  <c r="C72" i="12" s="1"/>
  <c r="D73" i="12"/>
  <c r="C73" i="12" s="1"/>
  <c r="D74" i="12"/>
  <c r="C74" i="12" s="1"/>
  <c r="D75" i="12"/>
  <c r="C75" i="12" s="1"/>
  <c r="D76" i="12"/>
  <c r="C76" i="12" s="1"/>
  <c r="D77" i="12"/>
  <c r="C77" i="12" s="1"/>
  <c r="D78" i="12"/>
  <c r="C78" i="12" s="1"/>
  <c r="D79" i="12"/>
  <c r="C79" i="12" s="1"/>
  <c r="D80" i="12"/>
  <c r="C80" i="12" s="1"/>
  <c r="D81" i="12"/>
  <c r="C81" i="12" s="1"/>
  <c r="D82" i="12"/>
  <c r="C82" i="12" s="1"/>
  <c r="D83" i="12"/>
  <c r="C83" i="12" s="1"/>
  <c r="D84" i="12"/>
  <c r="C84" i="12" s="1"/>
  <c r="D85" i="12"/>
  <c r="C85" i="12" s="1"/>
  <c r="D86" i="12"/>
  <c r="C86" i="12" s="1"/>
  <c r="D87" i="12"/>
  <c r="C87" i="12" s="1"/>
  <c r="D88" i="12"/>
  <c r="C88" i="12" s="1"/>
  <c r="D89" i="12"/>
  <c r="C89" i="12" s="1"/>
  <c r="D90" i="12"/>
  <c r="C90" i="12" s="1"/>
  <c r="D91" i="12"/>
  <c r="C91" i="12" s="1"/>
  <c r="D92" i="12"/>
  <c r="C92" i="12" s="1"/>
  <c r="D93" i="12"/>
  <c r="C93" i="12" s="1"/>
  <c r="D94" i="12"/>
  <c r="C94" i="12" s="1"/>
  <c r="D95" i="12"/>
  <c r="C95" i="12" s="1"/>
  <c r="D96" i="12"/>
  <c r="C96" i="12" s="1"/>
  <c r="D97" i="12"/>
  <c r="C97" i="12" s="1"/>
  <c r="D98" i="12"/>
  <c r="C98" i="12" s="1"/>
  <c r="D99" i="12"/>
  <c r="C99" i="12" s="1"/>
  <c r="D100" i="12"/>
  <c r="C100" i="12" s="1"/>
  <c r="D101" i="12"/>
  <c r="C101" i="12" s="1"/>
  <c r="D102" i="12"/>
  <c r="C102" i="12" s="1"/>
  <c r="D103" i="12"/>
  <c r="C103" i="12" s="1"/>
  <c r="D104" i="12"/>
  <c r="C104" i="12" s="1"/>
  <c r="D105" i="12"/>
  <c r="C105" i="12" s="1"/>
  <c r="D106" i="12"/>
  <c r="C106" i="12" s="1"/>
  <c r="D107" i="12"/>
  <c r="C107" i="12" s="1"/>
  <c r="A3" i="11"/>
  <c r="P3" i="11"/>
  <c r="P18" i="11" s="1"/>
  <c r="S3" i="11"/>
  <c r="F8" i="15" s="1"/>
  <c r="AM3" i="11"/>
  <c r="P8" i="15" s="1"/>
  <c r="A4" i="11"/>
  <c r="P4" i="11"/>
  <c r="P19" i="11" s="1"/>
  <c r="S4" i="11"/>
  <c r="F9" i="15" s="1"/>
  <c r="AC4" i="11"/>
  <c r="K9" i="15" s="1"/>
  <c r="AM4" i="11"/>
  <c r="P9" i="15" s="1"/>
  <c r="A5" i="11"/>
  <c r="P5" i="11"/>
  <c r="P20" i="11" s="1"/>
  <c r="S5" i="11"/>
  <c r="F10" i="15" s="1"/>
  <c r="AC5" i="11"/>
  <c r="K10" i="15" s="1"/>
  <c r="AM5" i="11"/>
  <c r="P10" i="15" s="1"/>
  <c r="A6" i="11"/>
  <c r="P6" i="11"/>
  <c r="P21" i="11" s="1"/>
  <c r="S6" i="11"/>
  <c r="F11" i="15" s="1"/>
  <c r="AC6" i="11"/>
  <c r="K11" i="15" s="1"/>
  <c r="AM6" i="11"/>
  <c r="P11" i="15" s="1"/>
  <c r="A7" i="11"/>
  <c r="P7" i="11"/>
  <c r="P22" i="11" s="1"/>
  <c r="S7" i="11"/>
  <c r="F12" i="15" s="1"/>
  <c r="AC7" i="11"/>
  <c r="K12" i="15" s="1"/>
  <c r="AM7" i="11"/>
  <c r="P12" i="15" s="1"/>
  <c r="A8" i="11"/>
  <c r="T8" i="11"/>
  <c r="P8" i="11"/>
  <c r="P23" i="11" s="1"/>
  <c r="S8" i="11"/>
  <c r="F13" i="15" s="1"/>
  <c r="AC8" i="11"/>
  <c r="K13" i="15" s="1"/>
  <c r="AM8" i="11"/>
  <c r="P13" i="15" s="1"/>
  <c r="A9" i="11"/>
  <c r="P9" i="11"/>
  <c r="P24" i="11" s="1"/>
  <c r="S9" i="11"/>
  <c r="F14" i="15" s="1"/>
  <c r="AC9" i="11"/>
  <c r="K14" i="15" s="1"/>
  <c r="AM9" i="11"/>
  <c r="P14" i="15" s="1"/>
  <c r="A10" i="11"/>
  <c r="P10" i="11"/>
  <c r="P25" i="11" s="1"/>
  <c r="S10" i="11"/>
  <c r="F15" i="15" s="1"/>
  <c r="AC10" i="11"/>
  <c r="K15" i="15" s="1"/>
  <c r="AM10" i="11"/>
  <c r="P15" i="15" s="1"/>
  <c r="A11" i="11"/>
  <c r="P11" i="11"/>
  <c r="P26" i="11" s="1"/>
  <c r="S11" i="11"/>
  <c r="F16" i="15" s="1"/>
  <c r="AC11" i="11"/>
  <c r="K16" i="15" s="1"/>
  <c r="AM11" i="11"/>
  <c r="P16" i="15" s="1"/>
  <c r="O18" i="11"/>
  <c r="S18" i="11"/>
  <c r="E47" i="8" s="1"/>
  <c r="W18" i="11"/>
  <c r="Y18" i="11"/>
  <c r="AM18" i="11"/>
  <c r="E59" i="8" s="1"/>
  <c r="O19" i="11"/>
  <c r="W19" i="11"/>
  <c r="X19" i="11"/>
  <c r="F48" i="8" s="1"/>
  <c r="Y19" i="11"/>
  <c r="O20" i="11"/>
  <c r="S20" i="11"/>
  <c r="E49" i="8" s="1"/>
  <c r="W20" i="11"/>
  <c r="X20" i="11"/>
  <c r="F49" i="8" s="1"/>
  <c r="Y20" i="11"/>
  <c r="AM20" i="11"/>
  <c r="E61" i="8" s="1"/>
  <c r="O21" i="11"/>
  <c r="S21" i="11"/>
  <c r="E50" i="8" s="1"/>
  <c r="W21" i="11"/>
  <c r="Y21" i="11"/>
  <c r="AM21" i="11"/>
  <c r="E62" i="8" s="1"/>
  <c r="O22" i="11"/>
  <c r="W22" i="11"/>
  <c r="X22" i="11"/>
  <c r="F51" i="8" s="1"/>
  <c r="Y22" i="11"/>
  <c r="AM22" i="11"/>
  <c r="E63" i="8" s="1"/>
  <c r="O23" i="11"/>
  <c r="W23" i="11"/>
  <c r="X23" i="11"/>
  <c r="F52" i="8" s="1"/>
  <c r="Y23" i="11"/>
  <c r="O24" i="11"/>
  <c r="W24" i="11"/>
  <c r="X24" i="11"/>
  <c r="F53" i="8" s="1"/>
  <c r="Y24" i="11"/>
  <c r="AM24" i="11"/>
  <c r="E65" i="8" s="1"/>
  <c r="O25" i="11"/>
  <c r="W25" i="11"/>
  <c r="Y25" i="11"/>
  <c r="AM25" i="11"/>
  <c r="E66" i="8" s="1"/>
  <c r="O26" i="11"/>
  <c r="S26" i="11"/>
  <c r="E55" i="8" s="1"/>
  <c r="W26" i="11"/>
  <c r="X26" i="11"/>
  <c r="F55" i="8" s="1"/>
  <c r="Y26" i="11"/>
  <c r="AM26" i="11"/>
  <c r="E67" i="8" s="1"/>
  <c r="Q31" i="11"/>
  <c r="S31" i="11"/>
  <c r="P36" i="11"/>
  <c r="Q36" i="11" s="1"/>
  <c r="T36" i="11" s="1"/>
  <c r="S36" i="11"/>
  <c r="P37" i="11"/>
  <c r="Q37" i="11" s="1"/>
  <c r="T37" i="11" s="1"/>
  <c r="S37" i="11"/>
  <c r="P38" i="11"/>
  <c r="Q38" i="11" s="1"/>
  <c r="T38" i="11" s="1"/>
  <c r="S38" i="11"/>
  <c r="P39" i="11"/>
  <c r="Q39" i="11" s="1"/>
  <c r="T39" i="11" s="1"/>
  <c r="S39" i="11"/>
  <c r="P40" i="11"/>
  <c r="Q40" i="11" s="1"/>
  <c r="T40" i="11" s="1"/>
  <c r="S40" i="11"/>
  <c r="P41" i="11"/>
  <c r="Q41" i="11" s="1"/>
  <c r="T41" i="11" s="1"/>
  <c r="S41" i="11"/>
  <c r="P42" i="11"/>
  <c r="Q42" i="11" s="1"/>
  <c r="T42" i="11" s="1"/>
  <c r="S42" i="11"/>
  <c r="P43" i="11"/>
  <c r="Q43" i="11" s="1"/>
  <c r="T43" i="11" s="1"/>
  <c r="S43" i="11"/>
  <c r="P44" i="11"/>
  <c r="Q44" i="11" s="1"/>
  <c r="T44" i="11" s="1"/>
  <c r="S44" i="11"/>
  <c r="P45" i="11"/>
  <c r="Q45" i="11" s="1"/>
  <c r="T45" i="11" s="1"/>
  <c r="S45" i="11"/>
  <c r="Q53" i="11"/>
  <c r="Q54" i="11"/>
  <c r="Q55" i="11"/>
  <c r="Q56" i="11"/>
  <c r="Q57" i="11"/>
  <c r="Q58" i="11"/>
  <c r="Q59" i="11"/>
  <c r="BG3" i="11"/>
  <c r="Z8" i="15" s="1"/>
  <c r="BH3" i="11"/>
  <c r="AP4" i="11"/>
  <c r="AQ4" i="11"/>
  <c r="T9" i="15" s="1"/>
  <c r="BG4" i="11"/>
  <c r="Z9" i="15" s="1"/>
  <c r="AP5" i="11"/>
  <c r="AQ5" i="11"/>
  <c r="T10" i="15" s="1"/>
  <c r="AP6" i="11"/>
  <c r="AQ6" i="11"/>
  <c r="T11" i="15" s="1"/>
  <c r="BG6" i="11"/>
  <c r="Z11" i="15" s="1"/>
  <c r="AP7" i="11"/>
  <c r="AQ7" i="11"/>
  <c r="T12" i="15" s="1"/>
  <c r="BG7" i="11"/>
  <c r="Z12" i="15" s="1"/>
  <c r="BH7" i="11"/>
  <c r="AP8" i="11"/>
  <c r="AQ8" i="11"/>
  <c r="T13" i="15" s="1"/>
  <c r="BH8" i="11"/>
  <c r="AP9" i="11"/>
  <c r="AQ9" i="11"/>
  <c r="T14" i="15" s="1"/>
  <c r="AP10" i="11"/>
  <c r="AQ10" i="11"/>
  <c r="T15" i="15" s="1"/>
  <c r="BG10" i="11"/>
  <c r="Z15" i="15" s="1"/>
  <c r="AP11" i="11"/>
  <c r="AQ11" i="11"/>
  <c r="T16" i="15" s="1"/>
  <c r="BG11" i="11"/>
  <c r="Z16" i="15" s="1"/>
  <c r="T3" i="11" l="1"/>
  <c r="AC24" i="11"/>
  <c r="H53" i="8" s="1"/>
  <c r="M31" i="12"/>
  <c r="AK8" i="11"/>
  <c r="M27" i="12"/>
  <c r="AK4" i="11"/>
  <c r="M32" i="12"/>
  <c r="AK9" i="11"/>
  <c r="M28" i="12"/>
  <c r="AK5" i="11"/>
  <c r="AC23" i="11"/>
  <c r="H52" i="8" s="1"/>
  <c r="AC20" i="11"/>
  <c r="H49" i="8" s="1"/>
  <c r="D27" i="8" s="1"/>
  <c r="B5" i="11" s="1"/>
  <c r="AC19" i="11"/>
  <c r="H48" i="8" s="1"/>
  <c r="M33" i="12"/>
  <c r="AK10" i="11"/>
  <c r="M29" i="12"/>
  <c r="AK6" i="11"/>
  <c r="M34" i="12"/>
  <c r="AK11" i="11"/>
  <c r="M30" i="12"/>
  <c r="AK7" i="11"/>
  <c r="M26" i="12"/>
  <c r="AK3" i="11"/>
  <c r="M23" i="12"/>
  <c r="AA9" i="11"/>
  <c r="AA24" i="11" s="1"/>
  <c r="AD24" i="11" s="1"/>
  <c r="M19" i="12"/>
  <c r="AA5" i="11"/>
  <c r="M24" i="12"/>
  <c r="AA10" i="11"/>
  <c r="AA25" i="11" s="1"/>
  <c r="AD25" i="11" s="1"/>
  <c r="M20" i="12"/>
  <c r="AA6" i="11"/>
  <c r="M25" i="12"/>
  <c r="AA11" i="11"/>
  <c r="AA26" i="11" s="1"/>
  <c r="AD26" i="11" s="1"/>
  <c r="M21" i="12"/>
  <c r="AA7" i="11"/>
  <c r="M22" i="12"/>
  <c r="AA8" i="11"/>
  <c r="AA23" i="11" s="1"/>
  <c r="AD23" i="11" s="1"/>
  <c r="M18" i="12"/>
  <c r="AA4" i="11"/>
  <c r="AC26" i="11"/>
  <c r="H55" i="8" s="1"/>
  <c r="D33" i="8" s="1"/>
  <c r="AC22" i="11"/>
  <c r="H51" i="8" s="1"/>
  <c r="AC18" i="11"/>
  <c r="H47" i="8" s="1"/>
  <c r="D25" i="8" s="1"/>
  <c r="M15" i="12"/>
  <c r="Q10" i="11"/>
  <c r="M11" i="12"/>
  <c r="Q6" i="11"/>
  <c r="M16" i="12"/>
  <c r="Q11" i="11"/>
  <c r="M12" i="12"/>
  <c r="Q7" i="11"/>
  <c r="M9" i="12"/>
  <c r="Q4" i="11"/>
  <c r="M14" i="12"/>
  <c r="Q9" i="11"/>
  <c r="M10" i="12"/>
  <c r="Q5" i="11"/>
  <c r="S25" i="11"/>
  <c r="E54" i="8" s="1"/>
  <c r="S24" i="11"/>
  <c r="E53" i="8" s="1"/>
  <c r="D31" i="8" s="1"/>
  <c r="S22" i="11"/>
  <c r="E51" i="8" s="1"/>
  <c r="M8" i="12"/>
  <c r="H2" i="11"/>
  <c r="M17" i="12"/>
  <c r="I2" i="11"/>
  <c r="J2" i="11"/>
  <c r="BH11" i="11"/>
  <c r="BG8" i="11"/>
  <c r="Z13" i="15" s="1"/>
  <c r="T31" i="11"/>
  <c r="BH6" i="11"/>
  <c r="BH10" i="11"/>
  <c r="BH4" i="11"/>
  <c r="BH1" i="11" s="1"/>
  <c r="V15" i="15" s="1"/>
  <c r="BG9" i="11"/>
  <c r="Z14" i="15" s="1"/>
  <c r="BH9" i="11"/>
  <c r="AD3" i="11"/>
  <c r="AD18" i="11"/>
  <c r="BG5" i="11"/>
  <c r="Z10" i="15" s="1"/>
  <c r="BH5" i="11"/>
  <c r="AD6" i="11"/>
  <c r="AM23" i="11"/>
  <c r="E64" i="8" s="1"/>
  <c r="AM19" i="11"/>
  <c r="E60" i="8" s="1"/>
  <c r="T18" i="11"/>
  <c r="X25" i="11"/>
  <c r="X21" i="11"/>
  <c r="D29" i="8" l="1"/>
  <c r="AC21" i="11"/>
  <c r="H50" i="8" s="1"/>
  <c r="D28" i="8" s="1"/>
  <c r="B6" i="11" s="1"/>
  <c r="F50" i="8"/>
  <c r="T9" i="11"/>
  <c r="Q24" i="11"/>
  <c r="T24" i="11" s="1"/>
  <c r="T7" i="11"/>
  <c r="Q22" i="11"/>
  <c r="T22" i="11" s="1"/>
  <c r="T6" i="11"/>
  <c r="Q21" i="11"/>
  <c r="T21" i="11" s="1"/>
  <c r="AK20" i="11"/>
  <c r="AN20" i="11" s="1"/>
  <c r="AN5" i="11"/>
  <c r="AK19" i="11"/>
  <c r="AN19" i="11" s="1"/>
  <c r="AN4" i="11"/>
  <c r="AC25" i="11"/>
  <c r="H54" i="8" s="1"/>
  <c r="D32" i="8" s="1"/>
  <c r="F54" i="8"/>
  <c r="AK22" i="11"/>
  <c r="AN22" i="11" s="1"/>
  <c r="AN7" i="11"/>
  <c r="AK21" i="11"/>
  <c r="AN21" i="11" s="1"/>
  <c r="AN6" i="11"/>
  <c r="AD8" i="11"/>
  <c r="AD11" i="11"/>
  <c r="AD10" i="11"/>
  <c r="T5" i="11"/>
  <c r="Q20" i="11"/>
  <c r="T20" i="11" s="1"/>
  <c r="T4" i="11"/>
  <c r="Q19" i="11"/>
  <c r="T11" i="11"/>
  <c r="Q26" i="11"/>
  <c r="T26" i="11" s="1"/>
  <c r="T10" i="11"/>
  <c r="Q25" i="11"/>
  <c r="T25" i="11" s="1"/>
  <c r="AK24" i="11"/>
  <c r="AN24" i="11" s="1"/>
  <c r="AN9" i="11"/>
  <c r="AK23" i="11"/>
  <c r="AN23" i="11" s="1"/>
  <c r="AN8" i="11"/>
  <c r="AD9" i="11"/>
  <c r="AA19" i="11"/>
  <c r="AD19" i="11" s="1"/>
  <c r="AD7" i="11"/>
  <c r="AA22" i="11"/>
  <c r="AD22" i="11" s="1"/>
  <c r="AA21" i="11"/>
  <c r="AD21" i="11" s="1"/>
  <c r="AD5" i="11"/>
  <c r="AA20" i="11"/>
  <c r="AD20" i="11" s="1"/>
  <c r="AK18" i="11"/>
  <c r="AN18" i="11" s="1"/>
  <c r="AN3" i="11"/>
  <c r="AK26" i="11"/>
  <c r="AN26" i="11" s="1"/>
  <c r="AN11" i="11"/>
  <c r="AK25" i="11"/>
  <c r="AN25" i="11" s="1"/>
  <c r="AN10" i="11"/>
  <c r="AD4" i="11"/>
  <c r="AD1" i="11" s="1"/>
  <c r="G15" i="15" s="1"/>
  <c r="T19" i="11"/>
  <c r="S19" i="11"/>
  <c r="E48" i="8" s="1"/>
  <c r="D26" i="8" s="1"/>
  <c r="B4" i="11" s="1"/>
  <c r="T23" i="11"/>
  <c r="S23" i="11"/>
  <c r="E52" i="8" s="1"/>
  <c r="D30" i="8" s="1"/>
  <c r="AD16" i="11" l="1"/>
  <c r="T16" i="11"/>
  <c r="AN1" i="11"/>
  <c r="L15" i="15" s="1"/>
  <c r="AN16" i="11"/>
  <c r="S56" i="11"/>
  <c r="J75" i="8" s="1"/>
  <c r="T56" i="11"/>
  <c r="S58" i="11"/>
  <c r="J77" i="8" s="1"/>
  <c r="T58" i="11"/>
  <c r="S55" i="11"/>
  <c r="J74" i="8" s="1"/>
  <c r="T55" i="11"/>
  <c r="S57" i="11"/>
  <c r="J76" i="8" s="1"/>
  <c r="T57" i="11"/>
  <c r="S54" i="11"/>
  <c r="J73" i="8" s="1"/>
  <c r="T54" i="11"/>
  <c r="S59" i="11"/>
  <c r="J78" i="8" s="1"/>
  <c r="T59" i="11"/>
  <c r="S53" i="11" l="1"/>
  <c r="J72" i="8" s="1"/>
  <c r="T53" i="11"/>
  <c r="S52" i="11"/>
  <c r="J71" i="8" s="1"/>
  <c r="T52" i="11"/>
  <c r="B72" i="8" l="1"/>
  <c r="B73" i="8"/>
  <c r="B74" i="8"/>
  <c r="B75" i="8"/>
  <c r="B76" i="8"/>
  <c r="B77" i="8"/>
  <c r="B78" i="8"/>
  <c r="B79" i="8"/>
  <c r="B71" i="8"/>
  <c r="B60" i="8"/>
  <c r="B61" i="8"/>
  <c r="B62" i="8"/>
  <c r="B63" i="8"/>
  <c r="B64" i="8"/>
  <c r="B65" i="8"/>
  <c r="B66" i="8"/>
  <c r="B67" i="8"/>
  <c r="B59" i="8"/>
  <c r="B48" i="8"/>
  <c r="B49" i="8"/>
  <c r="B50" i="8"/>
  <c r="B51" i="8"/>
  <c r="B52" i="8"/>
  <c r="B53" i="8"/>
  <c r="B54" i="8"/>
  <c r="B55" i="8"/>
  <c r="B47" i="8"/>
  <c r="B9" i="11" l="1"/>
  <c r="B8" i="11"/>
  <c r="B11" i="11"/>
  <c r="B10" i="11"/>
  <c r="B7" i="11"/>
  <c r="B3" i="11"/>
  <c r="K22" i="15" l="1"/>
  <c r="F49" i="15" s="1"/>
  <c r="AV10" i="11"/>
  <c r="AW10" i="11" s="1"/>
  <c r="U15" i="15" s="1"/>
  <c r="F40" i="15" s="1"/>
  <c r="AV5" i="11"/>
  <c r="AX5" i="11" s="1"/>
  <c r="AV7" i="11"/>
  <c r="AW7" i="11" s="1"/>
  <c r="U12" i="15" s="1"/>
  <c r="F37" i="15" s="1"/>
  <c r="AV6" i="11"/>
  <c r="AX6" i="11" s="1"/>
  <c r="B22" i="15"/>
  <c r="F42" i="15" s="1"/>
  <c r="D22" i="15"/>
  <c r="F44" i="15" s="1"/>
  <c r="H22" i="15"/>
  <c r="F47" i="15" s="1"/>
  <c r="AV8" i="11"/>
  <c r="AW8" i="11" s="1"/>
  <c r="U13" i="15" s="1"/>
  <c r="F38" i="15" s="1"/>
  <c r="AV9" i="11"/>
  <c r="AX9" i="11" s="1"/>
  <c r="AV4" i="11"/>
  <c r="AW4" i="11" s="1"/>
  <c r="U9" i="15" s="1"/>
  <c r="F34" i="15" s="1"/>
  <c r="AV3" i="11"/>
  <c r="AV11" i="11"/>
  <c r="AX11" i="11" s="1"/>
  <c r="AX8" i="11" l="1"/>
  <c r="AX3" i="11"/>
  <c r="AX1" i="11" s="1"/>
  <c r="Q15" i="15" s="1"/>
  <c r="F25" i="15" s="1"/>
  <c r="AW3" i="11"/>
  <c r="AX10" i="11"/>
  <c r="AW9" i="11"/>
  <c r="U14" i="15" s="1"/>
  <c r="F39" i="15" s="1"/>
  <c r="AW6" i="11"/>
  <c r="U11" i="15" s="1"/>
  <c r="F36" i="15" s="1"/>
  <c r="AW5" i="11"/>
  <c r="U10" i="15" s="1"/>
  <c r="F35" i="15" s="1"/>
  <c r="AX4" i="11"/>
  <c r="AW11" i="11"/>
  <c r="U16" i="15" s="1"/>
  <c r="F41" i="15" s="1"/>
  <c r="AX7" i="11"/>
  <c r="U8" i="15"/>
  <c r="F33" i="15" s="1"/>
  <c r="I14" i="14" l="1"/>
  <c r="I24" i="7"/>
  <c r="F18" i="7"/>
  <c r="E15" i="7"/>
  <c r="H11" i="7"/>
  <c r="G17" i="7"/>
  <c r="E24" i="7"/>
  <c r="J24" i="7"/>
  <c r="G18" i="7"/>
  <c r="F16" i="7"/>
  <c r="J21" i="7"/>
  <c r="F13" i="7"/>
  <c r="J13" i="7"/>
  <c r="G23" i="7"/>
  <c r="J12" i="7"/>
  <c r="I10" i="7"/>
  <c r="G22" i="7"/>
  <c r="J14" i="7"/>
  <c r="H8" i="7"/>
  <c r="G24" i="7"/>
  <c r="J19" i="7"/>
  <c r="H15" i="7"/>
  <c r="J18" i="7"/>
  <c r="H14" i="7"/>
  <c r="I21" i="7"/>
  <c r="G16" i="7"/>
  <c r="G9" i="7"/>
  <c r="F20" i="7"/>
  <c r="E10" i="7"/>
  <c r="I23" i="7"/>
  <c r="J16" i="7"/>
  <c r="E9" i="7"/>
  <c r="I20" i="7"/>
  <c r="G15" i="7"/>
  <c r="E17" i="7"/>
  <c r="H25" i="7"/>
  <c r="F14" i="7"/>
  <c r="J11" i="7"/>
  <c r="E20" i="7"/>
  <c r="I18" i="7"/>
  <c r="G10" i="7"/>
  <c r="I19" i="7"/>
  <c r="I11" i="7"/>
  <c r="E14" i="7"/>
  <c r="F8" i="7"/>
  <c r="J23" i="7"/>
  <c r="H12" i="7"/>
  <c r="G8" i="7"/>
  <c r="E8" i="7"/>
  <c r="E22" i="7"/>
  <c r="F19" i="7"/>
  <c r="J20" i="7"/>
  <c r="G14" i="7"/>
  <c r="J25" i="7"/>
  <c r="D17" i="7"/>
  <c r="D18" i="7"/>
  <c r="D13" i="7"/>
  <c r="D23" i="7"/>
  <c r="D10" i="7"/>
  <c r="D11" i="7"/>
  <c r="H22" i="7"/>
  <c r="J8" i="7" l="1"/>
  <c r="D8" i="7"/>
  <c r="D14" i="7"/>
  <c r="D19" i="7"/>
  <c r="D22" i="7"/>
  <c r="D24" i="7"/>
  <c r="D12" i="7"/>
  <c r="I15" i="7"/>
  <c r="H23" i="7"/>
  <c r="H17" i="7"/>
  <c r="F15" i="7"/>
  <c r="G11" i="7"/>
  <c r="H21" i="7"/>
  <c r="F24" i="7"/>
  <c r="G21" i="7"/>
  <c r="H18" i="7"/>
  <c r="F12" i="7"/>
  <c r="H9" i="7"/>
  <c r="F21" i="7"/>
  <c r="E25" i="7"/>
  <c r="I14" i="7"/>
  <c r="E23" i="7"/>
  <c r="E12" i="7"/>
  <c r="E19" i="7"/>
  <c r="H10" i="7"/>
  <c r="H24" i="7"/>
  <c r="F11" i="7"/>
  <c r="G19" i="7"/>
  <c r="F9" i="7"/>
  <c r="H20" i="7"/>
  <c r="F23" i="7"/>
  <c r="I13" i="7"/>
  <c r="G20" i="7"/>
  <c r="J10" i="7"/>
  <c r="D16" i="7"/>
  <c r="D9" i="7"/>
  <c r="D20" i="7"/>
  <c r="D25" i="7"/>
  <c r="D21" i="7"/>
  <c r="D15" i="7"/>
  <c r="E13" i="7"/>
  <c r="H16" i="7"/>
  <c r="I9" i="7"/>
  <c r="F25" i="7"/>
  <c r="H19" i="7"/>
  <c r="I16" i="7"/>
  <c r="E18" i="7"/>
  <c r="G13" i="7"/>
  <c r="I25" i="7"/>
  <c r="J22" i="7"/>
  <c r="E11" i="7"/>
  <c r="F17" i="7"/>
  <c r="E21" i="7"/>
  <c r="H13" i="7"/>
  <c r="E16" i="7"/>
  <c r="F10" i="7"/>
  <c r="G12" i="7"/>
  <c r="F22" i="7"/>
  <c r="I12" i="7"/>
  <c r="I8" i="7"/>
  <c r="I17" i="7"/>
  <c r="J9" i="7"/>
  <c r="J17" i="7"/>
  <c r="I22" i="7"/>
  <c r="G25" i="7"/>
  <c r="J15" i="7"/>
  <c r="K18" i="7" l="1"/>
  <c r="E34" i="8" s="1"/>
  <c r="K10" i="7"/>
  <c r="D35" i="15" s="1"/>
  <c r="G35" i="15" s="1"/>
  <c r="H35" i="15" s="1"/>
  <c r="K21" i="7"/>
  <c r="L21" i="7" s="1"/>
  <c r="K23" i="7"/>
  <c r="L23" i="7" s="1"/>
  <c r="K14" i="7"/>
  <c r="C31" i="8" s="1"/>
  <c r="K17" i="7"/>
  <c r="D50" i="15" s="1"/>
  <c r="G50" i="15" s="1"/>
  <c r="H50" i="15" s="1"/>
  <c r="K13" i="7"/>
  <c r="C30" i="8" s="1"/>
  <c r="K25" i="7"/>
  <c r="C41" i="8" s="1"/>
  <c r="I41" i="8" s="1"/>
  <c r="K8" i="7"/>
  <c r="L8" i="7" s="1"/>
  <c r="K12" i="7"/>
  <c r="K24" i="7"/>
  <c r="K20" i="7"/>
  <c r="K22" i="7"/>
  <c r="K16" i="7"/>
  <c r="K11" i="7"/>
  <c r="K15" i="7"/>
  <c r="K9" i="7"/>
  <c r="K19" i="7"/>
  <c r="E37" i="8" l="1"/>
  <c r="I37" i="8" s="1"/>
  <c r="L10" i="7"/>
  <c r="E30" i="8"/>
  <c r="F30" i="8" s="1"/>
  <c r="C34" i="8"/>
  <c r="D42" i="15"/>
  <c r="G42" i="15" s="1"/>
  <c r="H42" i="15" s="1"/>
  <c r="L18" i="7"/>
  <c r="D38" i="15"/>
  <c r="G38" i="15" s="1"/>
  <c r="H38" i="15" s="1"/>
  <c r="C37" i="8"/>
  <c r="E42" i="8"/>
  <c r="F42" i="8" s="1"/>
  <c r="D39" i="15"/>
  <c r="G39" i="15" s="1"/>
  <c r="H39" i="15" s="1"/>
  <c r="E41" i="8"/>
  <c r="H41" i="8" s="1"/>
  <c r="E31" i="8"/>
  <c r="H31" i="8" s="1"/>
  <c r="L14" i="7"/>
  <c r="E39" i="8"/>
  <c r="I39" i="8" s="1"/>
  <c r="L17" i="7"/>
  <c r="C25" i="8"/>
  <c r="C27" i="8"/>
  <c r="C42" i="8"/>
  <c r="I42" i="8" s="1"/>
  <c r="E27" i="8"/>
  <c r="F27" i="8" s="1"/>
  <c r="D49" i="15"/>
  <c r="G49" i="15" s="1"/>
  <c r="H49" i="15" s="1"/>
  <c r="D47" i="15"/>
  <c r="G47" i="15" s="1"/>
  <c r="H47" i="15" s="1"/>
  <c r="D45" i="15"/>
  <c r="G45" i="15" s="1"/>
  <c r="H45" i="15" s="1"/>
  <c r="C39" i="8"/>
  <c r="L13" i="7"/>
  <c r="E25" i="8"/>
  <c r="F25" i="8" s="1"/>
  <c r="D33" i="15"/>
  <c r="G33" i="15" s="1"/>
  <c r="H33" i="15" s="1"/>
  <c r="L25" i="7"/>
  <c r="L9" i="7"/>
  <c r="C26" i="8"/>
  <c r="D34" i="15"/>
  <c r="G34" i="15" s="1"/>
  <c r="H34" i="15" s="1"/>
  <c r="E26" i="8"/>
  <c r="D44" i="15"/>
  <c r="G44" i="15" s="1"/>
  <c r="H44" i="15" s="1"/>
  <c r="E36" i="8"/>
  <c r="L20" i="7"/>
  <c r="C36" i="8"/>
  <c r="F34" i="8"/>
  <c r="I34" i="8"/>
  <c r="H34" i="8"/>
  <c r="E28" i="8"/>
  <c r="L11" i="7"/>
  <c r="C28" i="8"/>
  <c r="D36" i="15"/>
  <c r="G36" i="15" s="1"/>
  <c r="H36" i="15" s="1"/>
  <c r="L24" i="7"/>
  <c r="D48" i="15"/>
  <c r="G48" i="15" s="1"/>
  <c r="H48" i="15" s="1"/>
  <c r="C40" i="8"/>
  <c r="E40" i="8"/>
  <c r="C38" i="8"/>
  <c r="L22" i="7"/>
  <c r="D46" i="15"/>
  <c r="G46" i="15" s="1"/>
  <c r="H46" i="15" s="1"/>
  <c r="E38" i="8"/>
  <c r="E32" i="8"/>
  <c r="L15" i="7"/>
  <c r="C32" i="8"/>
  <c r="D40" i="15"/>
  <c r="G40" i="15" s="1"/>
  <c r="H40" i="15" s="1"/>
  <c r="D43" i="15"/>
  <c r="G43" i="15" s="1"/>
  <c r="H43" i="15" s="1"/>
  <c r="L19" i="7"/>
  <c r="C35" i="8"/>
  <c r="E35" i="8"/>
  <c r="E33" i="8"/>
  <c r="C33" i="8"/>
  <c r="D41" i="15"/>
  <c r="G41" i="15" s="1"/>
  <c r="H41" i="15" s="1"/>
  <c r="L16" i="7"/>
  <c r="D37" i="15"/>
  <c r="G37" i="15" s="1"/>
  <c r="H37" i="15" s="1"/>
  <c r="E29" i="8"/>
  <c r="C29" i="8"/>
  <c r="L12" i="7"/>
  <c r="H37" i="8" l="1"/>
  <c r="F37" i="8"/>
  <c r="F31" i="8"/>
  <c r="H30" i="8"/>
  <c r="I30" i="8"/>
  <c r="H42" i="8"/>
  <c r="F39" i="8"/>
  <c r="F41" i="8"/>
  <c r="I31" i="8"/>
  <c r="H39" i="8"/>
  <c r="H25" i="8"/>
  <c r="I27" i="8"/>
  <c r="H27" i="8"/>
  <c r="I25" i="8"/>
  <c r="H32" i="8"/>
  <c r="I32" i="8"/>
  <c r="F32" i="8"/>
  <c r="F35" i="8"/>
  <c r="I35" i="8"/>
  <c r="H35" i="8"/>
  <c r="H28" i="8"/>
  <c r="F28" i="8"/>
  <c r="I28" i="8"/>
  <c r="H26" i="8"/>
  <c r="F26" i="8"/>
  <c r="I26" i="8"/>
  <c r="H29" i="8"/>
  <c r="F29" i="8"/>
  <c r="I29" i="8"/>
  <c r="I33" i="8"/>
  <c r="F33" i="8"/>
  <c r="H33" i="8"/>
  <c r="F38" i="8"/>
  <c r="H38" i="8"/>
  <c r="I38" i="8"/>
  <c r="F40" i="8"/>
  <c r="I40" i="8"/>
  <c r="H40" i="8"/>
  <c r="F36" i="8"/>
  <c r="H36" i="8"/>
  <c r="I36" i="8"/>
  <c r="J26" i="8" l="1"/>
</calcChain>
</file>

<file path=xl/comments1.xml><?xml version="1.0" encoding="utf-8"?>
<comments xmlns="http://schemas.openxmlformats.org/spreadsheetml/2006/main">
  <authors>
    <author>Pamela Stefani Batista Lemos</author>
  </authors>
  <commentList>
    <comment ref="F42" authorId="0" shapeId="0">
      <text>
        <r>
          <rPr>
            <b/>
            <sz val="9"/>
            <color indexed="81"/>
            <rFont val="Segoe UI"/>
            <family val="2"/>
          </rPr>
          <t>Pamela Stefani Batista Lemos:</t>
        </r>
        <r>
          <rPr>
            <sz val="9"/>
            <color indexed="81"/>
            <rFont val="Segoe UI"/>
            <family val="2"/>
          </rPr>
          <t xml:space="preserve">
VERIFICAR NA ANTIGA VERSAO
</t>
        </r>
      </text>
    </comment>
  </commentList>
</comments>
</file>

<file path=xl/sharedStrings.xml><?xml version="1.0" encoding="utf-8"?>
<sst xmlns="http://schemas.openxmlformats.org/spreadsheetml/2006/main" count="1074" uniqueCount="217">
  <si>
    <t>Fornecedor</t>
  </si>
  <si>
    <t>Nº Nota</t>
  </si>
  <si>
    <t>Situação</t>
  </si>
  <si>
    <t>Valor Total</t>
  </si>
  <si>
    <t>Valor Unid</t>
  </si>
  <si>
    <t>Quantidade</t>
  </si>
  <si>
    <t>Unid.Medida</t>
  </si>
  <si>
    <t>Produto</t>
  </si>
  <si>
    <t>Data:</t>
  </si>
  <si>
    <t>Operador:</t>
  </si>
  <si>
    <t xml:space="preserve">ID: </t>
  </si>
  <si>
    <t>Doação Entrada</t>
  </si>
  <si>
    <t>ID</t>
  </si>
  <si>
    <t>PRODUTO</t>
  </si>
  <si>
    <t>UNID.MEDIDA</t>
  </si>
  <si>
    <t>QNT</t>
  </si>
  <si>
    <t>VALOR UNIDADE</t>
  </si>
  <si>
    <t xml:space="preserve">VALOR TOTAL </t>
  </si>
  <si>
    <t>SITUAÇÃO</t>
  </si>
  <si>
    <t>DT. CADASTRO</t>
  </si>
  <si>
    <t>OPERADOR</t>
  </si>
  <si>
    <t>FORNECEDOR</t>
  </si>
  <si>
    <t>Nº NOTA</t>
  </si>
  <si>
    <t>Und. Medida</t>
  </si>
  <si>
    <t>Entrada</t>
  </si>
  <si>
    <t>Saída</t>
  </si>
  <si>
    <t>Doação Saída</t>
  </si>
  <si>
    <t>Permuta Entrada</t>
  </si>
  <si>
    <t>Permuta Saída</t>
  </si>
  <si>
    <t>Perda</t>
  </si>
  <si>
    <t>Estoque Atual</t>
  </si>
  <si>
    <t>Arroz</t>
  </si>
  <si>
    <t>kg</t>
  </si>
  <si>
    <t>Feijão</t>
  </si>
  <si>
    <t>Fubá</t>
  </si>
  <si>
    <t>Açúcar</t>
  </si>
  <si>
    <t>Espaguete</t>
  </si>
  <si>
    <t>Café</t>
  </si>
  <si>
    <t>Óleo</t>
  </si>
  <si>
    <t>unid</t>
  </si>
  <si>
    <t>Sal</t>
  </si>
  <si>
    <t>Sabão</t>
  </si>
  <si>
    <t>Cesta Doação</t>
  </si>
  <si>
    <t>C1-Capa de Fardo 60x40x10</t>
  </si>
  <si>
    <t>C2e3-Capa de Fardo 80x50x10</t>
  </si>
  <si>
    <t>Embalagem 17x25</t>
  </si>
  <si>
    <t>Embalagem 17x35</t>
  </si>
  <si>
    <t>Embalagem 20x30</t>
  </si>
  <si>
    <t>Embalagem 25x35</t>
  </si>
  <si>
    <t>Embalagem 35x45x10 (corte)</t>
  </si>
  <si>
    <t>Fita</t>
  </si>
  <si>
    <t>ID Estoque:</t>
  </si>
  <si>
    <t>ID Lote</t>
  </si>
  <si>
    <t>Lote Cesta:</t>
  </si>
  <si>
    <t>LTC</t>
  </si>
  <si>
    <t xml:space="preserve"> Produção de Cestas</t>
  </si>
  <si>
    <t>Cesta 1</t>
  </si>
  <si>
    <t>Cesta 2</t>
  </si>
  <si>
    <t>Cesta 3</t>
  </si>
  <si>
    <t>Cesta 1/2</t>
  </si>
  <si>
    <t>Cesta 2/2</t>
  </si>
  <si>
    <t>Embalagens</t>
  </si>
  <si>
    <t>C1-CP Fardo 60x40x10</t>
  </si>
  <si>
    <t>Embalagem 17x25 - C1</t>
  </si>
  <si>
    <t>Embalagem 17x35 -C2</t>
  </si>
  <si>
    <t>Embalagem 20x30 -C3</t>
  </si>
  <si>
    <t>Embalagem 25x35 -C1e3</t>
  </si>
  <si>
    <t>Embalagem 35x45x10 (corte) -C2</t>
  </si>
  <si>
    <t>Embalagem 35x45x10 -C2</t>
  </si>
  <si>
    <t xml:space="preserve">Situação: </t>
  </si>
  <si>
    <t xml:space="preserve">Data: </t>
  </si>
  <si>
    <t>Total Cestas:</t>
  </si>
  <si>
    <t>Estoque Pós Montagem Cestas</t>
  </si>
  <si>
    <t>Itens</t>
  </si>
  <si>
    <t>Estoque Inicial</t>
  </si>
  <si>
    <t>Consumo</t>
  </si>
  <si>
    <t>Resta kg</t>
  </si>
  <si>
    <t>Pedido de Compras</t>
  </si>
  <si>
    <t>Valor Unidade</t>
  </si>
  <si>
    <t>Valor Total Item Compra</t>
  </si>
  <si>
    <t>Valor Total Para Comprar Produtos em Falta</t>
  </si>
  <si>
    <t>Qtd</t>
  </si>
  <si>
    <t>Total Cestas</t>
  </si>
  <si>
    <t xml:space="preserve">Qnt.Produção </t>
  </si>
  <si>
    <t>Total Embalagem</t>
  </si>
  <si>
    <t>VALOR TOTAL CESTA</t>
  </si>
  <si>
    <t>QTD TOTAL PRODUÇÃO</t>
  </si>
  <si>
    <t>QTD PRODUÇÃO</t>
  </si>
  <si>
    <t>VALOR TOTAL UNIDADE</t>
  </si>
  <si>
    <t>VALOR UNI</t>
  </si>
  <si>
    <t>UNIDADE DE MEDIDA</t>
  </si>
  <si>
    <t>QTD</t>
  </si>
  <si>
    <t>ITENS</t>
  </si>
  <si>
    <t>TIPO CESTA</t>
  </si>
  <si>
    <t>Cesta 2/2 Montada</t>
  </si>
  <si>
    <t>Cesta 1/2 Montada</t>
  </si>
  <si>
    <t xml:space="preserve">TIPO </t>
  </si>
  <si>
    <t>Sabonete</t>
  </si>
  <si>
    <t>Diversos</t>
  </si>
  <si>
    <t>Milho Verde lata</t>
  </si>
  <si>
    <t>Leite em pó</t>
  </si>
  <si>
    <t>Goiabada</t>
  </si>
  <si>
    <t>Farinha Mandioca</t>
  </si>
  <si>
    <t>Farinha de Trigo</t>
  </si>
  <si>
    <t>Extrato de tomate</t>
  </si>
  <si>
    <t>SE(C6="Arroz";(Lista!P3);SE(C6="Feijão";(Lista!P4);SE(C6="Fubá";(Lista!P5);SE(C6="Açúcar";(Lista!P6);SE(C6="Espaguete";(Lista!P7);SE(C6="Café";(Lista!P8);SE(C6="Óleo";(Lista!P9);SE(C6="Sal";(Lista!P10);SE(C6="Sabão";(Lista!P11);SE(C6="Cesta Doação";(Lista!P31);SE(C6="C1-Capa de Fardo 60x40x10";(Lista!P52);SE(C6="C2e3-Capa de Fardo 80x50x10";(Lista!P53);SE(C6="Embalagem 17x25";(Lista!P54);SE(C6="Embalagem 17x35";(Lista!P55);SE(C6="Embalagem 20x30";(Lista!P56);SE(C6="Embalagem 25x35";(Lista!P57);SE(C6="Embalagem 35x45x10 (Corte)";(Lista!P58);SE(C6="Fita";(Lista!P59)))))))))))))))))))</t>
  </si>
  <si>
    <t>Canjuiquiha</t>
  </si>
  <si>
    <t>Calculo Valor Unidade (celula E9)  - Planilha casdastro de produto</t>
  </si>
  <si>
    <t>Composto Lacteo</t>
  </si>
  <si>
    <t>Achocolatado</t>
  </si>
  <si>
    <t>Itens Divesos</t>
  </si>
  <si>
    <t>Cesta D</t>
  </si>
  <si>
    <t>Doaçao de Cesta Basica</t>
  </si>
  <si>
    <t>Açucar</t>
  </si>
  <si>
    <t xml:space="preserve">Item </t>
  </si>
  <si>
    <t>Condição para estoque</t>
  </si>
  <si>
    <t>Cesta 3 Montada</t>
  </si>
  <si>
    <t>Cesta 2 Montada</t>
  </si>
  <si>
    <t>Cesta 1 Montada</t>
  </si>
  <si>
    <t>Qnt</t>
  </si>
  <si>
    <t>itens</t>
  </si>
  <si>
    <t>Cesta 3 Dashboard</t>
  </si>
  <si>
    <t>Cesta 2 Dashboard</t>
  </si>
  <si>
    <t>Cesta 1 Dashboard</t>
  </si>
  <si>
    <t>Valor Total Cesta 3</t>
  </si>
  <si>
    <t>Valor Total Cesta 2</t>
  </si>
  <si>
    <t xml:space="preserve">Valor Total Cesta 1 </t>
  </si>
  <si>
    <t>Valor total Produtos estoque</t>
  </si>
  <si>
    <t>Montagem de cesta</t>
  </si>
  <si>
    <t>Emb. Todas Cestas</t>
  </si>
  <si>
    <t>Emb. Cesta 2 e 3</t>
  </si>
  <si>
    <t>DESC.COD</t>
  </si>
  <si>
    <t>COD</t>
  </si>
  <si>
    <t>TOTAL CESTAS</t>
  </si>
  <si>
    <t>Cesta Doção</t>
  </si>
  <si>
    <t>CESTA 2/2</t>
  </si>
  <si>
    <t>CESTA 1/2</t>
  </si>
  <si>
    <t>CESTA 3</t>
  </si>
  <si>
    <t>CESTA 2</t>
  </si>
  <si>
    <t>CESTA 1</t>
  </si>
  <si>
    <t>DATA</t>
  </si>
  <si>
    <t>LOTE</t>
  </si>
  <si>
    <t>Qnt. Produção</t>
  </si>
  <si>
    <t>Qnt Cesta</t>
  </si>
  <si>
    <t>Valor</t>
  </si>
  <si>
    <t>Tipo</t>
  </si>
  <si>
    <t>Qnt R$ x Qnt Cesta</t>
  </si>
  <si>
    <t>Valor Total Por Cesta</t>
  </si>
  <si>
    <t>Total Produção</t>
  </si>
  <si>
    <t>Simulação de Cesta</t>
  </si>
  <si>
    <t>Qnt.Prod</t>
  </si>
  <si>
    <t xml:space="preserve">Produto </t>
  </si>
  <si>
    <t>Qnt. Prod</t>
  </si>
  <si>
    <t>Simulaçao Estoque Montagem Cestas</t>
  </si>
  <si>
    <t>Cesta 1/2 Dashboard</t>
  </si>
  <si>
    <t>Cesta 2/2 Dashboard</t>
  </si>
  <si>
    <t>Itens Embalagem Cesta Montada</t>
  </si>
  <si>
    <t>Itens Embalagem Cesta Dashboard</t>
  </si>
  <si>
    <t>Embalagem 25x35 -C1 e C3</t>
  </si>
  <si>
    <t>Embalagem</t>
  </si>
  <si>
    <t>Sem Óleo</t>
  </si>
  <si>
    <t>CESTA DOAÇÃO</t>
  </si>
  <si>
    <t>Qnt. Doação</t>
  </si>
  <si>
    <t>Cesta 01</t>
  </si>
  <si>
    <t>Cesta 02</t>
  </si>
  <si>
    <t>Cesta 03</t>
  </si>
  <si>
    <t>Cesta 01/02</t>
  </si>
  <si>
    <t>Cesta 02/02</t>
  </si>
  <si>
    <t>MONTAGEM E DISTRIBUIÇÃO DE CESTA</t>
  </si>
  <si>
    <t xml:space="preserve"> </t>
  </si>
  <si>
    <t>Posto 21</t>
  </si>
  <si>
    <t>Distribuição de Cestas</t>
  </si>
  <si>
    <t>LTDC</t>
  </si>
  <si>
    <t>Lote Distribuição:</t>
  </si>
  <si>
    <t>ID:</t>
  </si>
  <si>
    <t>TOTAL CESTA</t>
  </si>
  <si>
    <t>CESTA 02/02</t>
  </si>
  <si>
    <t>CESTA 01/02</t>
  </si>
  <si>
    <t>CESTA 03</t>
  </si>
  <si>
    <t>CESTA 02</t>
  </si>
  <si>
    <t>CESTA 01</t>
  </si>
  <si>
    <t xml:space="preserve">POSTO </t>
  </si>
  <si>
    <t>LOTE DISTR</t>
  </si>
  <si>
    <t>Posto 01 - Cidade dos Meninos</t>
  </si>
  <si>
    <t>Posto 02 - Cidade dos Meninos</t>
  </si>
  <si>
    <t>Posto 03 - Cidade dos Meninos</t>
  </si>
  <si>
    <t>Posto 04 - Cidade dos Meninos</t>
  </si>
  <si>
    <t>Posto 06 - Lar dos Meninos</t>
  </si>
  <si>
    <t>Posto 07 - Cidade dos Meninos</t>
  </si>
  <si>
    <t>Posto 09 - Nova Contagem</t>
  </si>
  <si>
    <t>Posto 05 - CEDIPRO</t>
  </si>
  <si>
    <t>Posto 11 – Veneza</t>
  </si>
  <si>
    <t>Posto 12 - Jardim Colonial</t>
  </si>
  <si>
    <t>Posto 13 - Morro Alto</t>
  </si>
  <si>
    <t>Posto 14 - Tomas Balduino</t>
  </si>
  <si>
    <t>Posto 15 - Leme do Prado</t>
  </si>
  <si>
    <t>Posto 10 - Nova Contagem</t>
  </si>
  <si>
    <t>Posto 16 - Taquaril</t>
  </si>
  <si>
    <t>Posto 17 - Vila Apolonia</t>
  </si>
  <si>
    <t>Posto 18 - Rosaneves</t>
  </si>
  <si>
    <t>Posto 19 - Santa Luzia</t>
  </si>
  <si>
    <t>Posto 20 - CEDIPRO</t>
  </si>
  <si>
    <t xml:space="preserve">Entrada </t>
  </si>
  <si>
    <t>Total Geral</t>
  </si>
  <si>
    <t xml:space="preserve">Cesta 03 </t>
  </si>
  <si>
    <t>Estoque Principal Cesta</t>
  </si>
  <si>
    <t>Resta</t>
  </si>
  <si>
    <t xml:space="preserve">Resta Estoque Atual  de Cestas Por Postos </t>
  </si>
  <si>
    <t>Conversão Para baixar no estoque</t>
  </si>
  <si>
    <t>Saida</t>
  </si>
  <si>
    <t>GERENCIAMENTO DE ESTOQUE</t>
  </si>
  <si>
    <t>Total de Cestas a Distribuir</t>
  </si>
  <si>
    <t xml:space="preserve">Total </t>
  </si>
  <si>
    <t>Total de Cesta em Estoque</t>
  </si>
  <si>
    <t>Total em Estoque Por Cesta</t>
  </si>
  <si>
    <t xml:space="preserve">Total Geral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</si>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</sst>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R$&quot;* #,##0.00_);_(&quot;R$&quot;* \(#,##0.00\);_(&quot;R$&quot;* &quot;-&quot;??_);_(@_)"/>
    <numFmt numFmtId="165" formatCode="&quot;R$&quot;\ #,##0.00"/>
    <numFmt numFmtId="166" formatCode="#,##0.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rgb="FFAD0F1E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name val="Arial"/>
      <family val="2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Berlin Sans FB Demi"/>
      <family val="2"/>
    </font>
    <font>
      <b/>
      <sz val="12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8C8F1"/>
        <bgColor indexed="64"/>
      </patternFill>
    </fill>
    <fill>
      <patternFill patternType="solid">
        <fgColor rgb="FFEF71DD"/>
        <bgColor indexed="64"/>
      </patternFill>
    </fill>
    <fill>
      <patternFill patternType="solid">
        <fgColor rgb="FFFAD6F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19D6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D1E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A8CD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876A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49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463">
    <xf numFmtId="0" fontId="0" fillId="0" borderId="0" xfId="0"/>
    <xf numFmtId="0" fontId="0" fillId="0" borderId="0" xfId="0" applyBorder="1" applyAlignment="1">
      <alignment vertical="center"/>
    </xf>
    <xf numFmtId="165" fontId="0" fillId="0" borderId="4" xfId="0" applyNumberFormat="1" applyFill="1" applyBorder="1" applyAlignment="1" applyProtection="1">
      <alignment vertical="center"/>
      <protection locked="0"/>
    </xf>
    <xf numFmtId="0" fontId="1" fillId="0" borderId="5" xfId="0" applyFont="1" applyFill="1" applyBorder="1" applyAlignment="1">
      <alignment horizontal="left" vertical="center"/>
    </xf>
    <xf numFmtId="4" fontId="0" fillId="0" borderId="4" xfId="0" applyNumberFormat="1" applyFill="1" applyBorder="1" applyAlignment="1">
      <alignment vertical="center"/>
    </xf>
    <xf numFmtId="4" fontId="0" fillId="0" borderId="4" xfId="0" applyNumberFormat="1" applyFill="1" applyBorder="1" applyAlignment="1" applyProtection="1">
      <alignment vertical="center"/>
      <protection locked="0"/>
    </xf>
    <xf numFmtId="3" fontId="0" fillId="0" borderId="4" xfId="0" applyNumberForma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vertical="center"/>
    </xf>
    <xf numFmtId="14" fontId="0" fillId="0" borderId="4" xfId="0" applyNumberFormat="1" applyFill="1" applyBorder="1" applyAlignment="1" applyProtection="1">
      <alignment vertical="center" shrinkToFit="1"/>
      <protection locked="0"/>
    </xf>
    <xf numFmtId="0" fontId="1" fillId="0" borderId="0" xfId="0" applyFont="1" applyFill="1" applyBorder="1" applyAlignment="1">
      <alignment horizontal="right" vertical="center"/>
    </xf>
    <xf numFmtId="0" fontId="0" fillId="0" borderId="4" xfId="0" applyFill="1" applyBorder="1" applyAlignment="1" applyProtection="1">
      <alignment vertical="center"/>
      <protection locked="0"/>
    </xf>
    <xf numFmtId="0" fontId="3" fillId="3" borderId="0" xfId="0" applyFont="1" applyFill="1" applyBorder="1" applyAlignment="1" applyProtection="1">
      <alignment horizontal="center" shrinkToFit="1"/>
      <protection hidden="1"/>
    </xf>
    <xf numFmtId="0" fontId="1" fillId="4" borderId="0" xfId="0" applyFont="1" applyFill="1" applyBorder="1" applyAlignment="1">
      <alignment horizontal="left" vertical="center"/>
    </xf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0" borderId="7" xfId="0" applyBorder="1"/>
    <xf numFmtId="0" fontId="0" fillId="0" borderId="6" xfId="0" applyBorder="1"/>
    <xf numFmtId="0" fontId="0" fillId="0" borderId="0" xfId="0" applyBorder="1"/>
    <xf numFmtId="0" fontId="0" fillId="0" borderId="3" xfId="0" applyBorder="1"/>
    <xf numFmtId="0" fontId="0" fillId="0" borderId="2" xfId="0" applyBorder="1"/>
    <xf numFmtId="0" fontId="0" fillId="0" borderId="1" xfId="0" applyBorder="1"/>
    <xf numFmtId="0" fontId="0" fillId="5" borderId="0" xfId="0" applyFill="1" applyBorder="1"/>
    <xf numFmtId="0" fontId="0" fillId="5" borderId="3" xfId="0" applyFill="1" applyBorder="1"/>
    <xf numFmtId="2" fontId="0" fillId="0" borderId="0" xfId="0" applyNumberFormat="1" applyFill="1"/>
    <xf numFmtId="165" fontId="0" fillId="0" borderId="0" xfId="0" applyNumberFormat="1"/>
    <xf numFmtId="165" fontId="0" fillId="0" borderId="0" xfId="0" applyNumberFormat="1" applyFill="1"/>
    <xf numFmtId="14" fontId="0" fillId="0" borderId="0" xfId="0" applyNumberFormat="1" applyFill="1"/>
    <xf numFmtId="4" fontId="0" fillId="0" borderId="0" xfId="0" applyNumberFormat="1"/>
    <xf numFmtId="0" fontId="0" fillId="5" borderId="0" xfId="0" applyFill="1" applyAlignment="1">
      <alignment shrinkToFit="1"/>
    </xf>
    <xf numFmtId="0" fontId="0" fillId="6" borderId="0" xfId="0" applyFill="1" applyAlignment="1">
      <alignment shrinkToFit="1"/>
    </xf>
    <xf numFmtId="0" fontId="0" fillId="5" borderId="0" xfId="0" applyFill="1" applyBorder="1" applyAlignment="1">
      <alignment shrinkToFit="1"/>
    </xf>
    <xf numFmtId="0" fontId="0" fillId="0" borderId="0" xfId="0" applyAlignment="1">
      <alignment shrinkToFit="1"/>
    </xf>
    <xf numFmtId="2" fontId="0" fillId="0" borderId="0" xfId="0" applyNumberFormat="1" applyFill="1" applyAlignment="1">
      <alignment shrinkToFit="1"/>
    </xf>
    <xf numFmtId="0" fontId="0" fillId="0" borderId="9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0" borderId="11" xfId="0" applyFont="1" applyFill="1" applyBorder="1"/>
    <xf numFmtId="4" fontId="0" fillId="0" borderId="0" xfId="0" applyNumberFormat="1" applyAlignment="1">
      <alignment shrinkToFit="1"/>
    </xf>
    <xf numFmtId="4" fontId="0" fillId="0" borderId="0" xfId="0" applyNumberFormat="1" applyBorder="1" applyAlignment="1">
      <alignment shrinkToFit="1"/>
    </xf>
    <xf numFmtId="0" fontId="4" fillId="0" borderId="12" xfId="0" applyFont="1" applyFill="1" applyBorder="1"/>
    <xf numFmtId="0" fontId="5" fillId="0" borderId="0" xfId="0" applyFont="1" applyBorder="1" applyAlignment="1">
      <alignment horizontal="right"/>
    </xf>
    <xf numFmtId="0" fontId="2" fillId="4" borderId="4" xfId="0" applyFont="1" applyFill="1" applyBorder="1" applyAlignment="1">
      <alignment horizontal="center"/>
    </xf>
    <xf numFmtId="3" fontId="6" fillId="0" borderId="4" xfId="0" applyNumberFormat="1" applyFont="1" applyBorder="1" applyAlignment="1" applyProtection="1">
      <alignment horizontal="center" shrinkToFit="1"/>
      <protection locked="0"/>
    </xf>
    <xf numFmtId="3" fontId="6" fillId="0" borderId="4" xfId="0" applyNumberFormat="1" applyFont="1" applyBorder="1" applyAlignment="1" applyProtection="1">
      <alignment horizontal="center" shrinkToFit="1"/>
      <protection hidden="1"/>
    </xf>
    <xf numFmtId="3" fontId="6" fillId="0" borderId="15" xfId="0" applyNumberFormat="1" applyFont="1" applyBorder="1" applyAlignment="1" applyProtection="1">
      <alignment horizontal="center" shrinkToFit="1"/>
      <protection hidden="1"/>
    </xf>
    <xf numFmtId="0" fontId="0" fillId="0" borderId="4" xfId="0" applyBorder="1" applyProtection="1">
      <protection locked="0"/>
    </xf>
    <xf numFmtId="14" fontId="0" fillId="0" borderId="4" xfId="0" applyNumberFormat="1" applyBorder="1" applyAlignment="1" applyProtection="1">
      <alignment horizontal="left"/>
      <protection locked="0"/>
    </xf>
    <xf numFmtId="0" fontId="5" fillId="0" borderId="0" xfId="0" applyFont="1" applyBorder="1" applyAlignment="1">
      <alignment shrinkToFit="1"/>
    </xf>
    <xf numFmtId="3" fontId="0" fillId="0" borderId="15" xfId="0" applyNumberFormat="1" applyFill="1" applyBorder="1"/>
    <xf numFmtId="4" fontId="0" fillId="0" borderId="15" xfId="0" applyNumberFormat="1" applyFill="1" applyBorder="1"/>
    <xf numFmtId="4" fontId="0" fillId="0" borderId="15" xfId="0" applyNumberFormat="1" applyFill="1" applyBorder="1" applyAlignment="1">
      <alignment shrinkToFit="1"/>
    </xf>
    <xf numFmtId="4" fontId="0" fillId="0" borderId="15" xfId="0" applyNumberFormat="1" applyFill="1" applyBorder="1" applyAlignment="1">
      <alignment horizontal="center"/>
    </xf>
    <xf numFmtId="2" fontId="0" fillId="0" borderId="15" xfId="0" applyNumberFormat="1" applyBorder="1"/>
    <xf numFmtId="4" fontId="0" fillId="0" borderId="15" xfId="0" applyNumberFormat="1" applyBorder="1"/>
    <xf numFmtId="0" fontId="1" fillId="2" borderId="15" xfId="0" applyFont="1" applyFill="1" applyBorder="1" applyAlignment="1">
      <alignment horizontal="center" vertical="center" wrapText="1"/>
    </xf>
    <xf numFmtId="0" fontId="1" fillId="11" borderId="1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10" borderId="14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/>
    </xf>
    <xf numFmtId="0" fontId="0" fillId="13" borderId="15" xfId="0" applyNumberFormat="1" applyFill="1" applyBorder="1"/>
    <xf numFmtId="3" fontId="0" fillId="13" borderId="15" xfId="0" applyNumberFormat="1" applyFill="1" applyBorder="1"/>
    <xf numFmtId="0" fontId="0" fillId="20" borderId="15" xfId="0" applyNumberFormat="1" applyFill="1" applyBorder="1"/>
    <xf numFmtId="3" fontId="0" fillId="20" borderId="15" xfId="0" applyNumberFormat="1" applyFill="1" applyBorder="1"/>
    <xf numFmtId="4" fontId="0" fillId="13" borderId="15" xfId="0" applyNumberFormat="1" applyFill="1" applyBorder="1"/>
    <xf numFmtId="0" fontId="0" fillId="14" borderId="15" xfId="0" applyNumberFormat="1" applyFill="1" applyBorder="1"/>
    <xf numFmtId="3" fontId="0" fillId="14" borderId="15" xfId="0" applyNumberFormat="1" applyFill="1" applyBorder="1"/>
    <xf numFmtId="4" fontId="0" fillId="4" borderId="15" xfId="0" applyNumberFormat="1" applyFill="1" applyBorder="1"/>
    <xf numFmtId="0" fontId="0" fillId="4" borderId="15" xfId="0" applyNumberFormat="1" applyFill="1" applyBorder="1"/>
    <xf numFmtId="3" fontId="0" fillId="4" borderId="15" xfId="0" applyNumberFormat="1" applyFill="1" applyBorder="1"/>
    <xf numFmtId="4" fontId="0" fillId="21" borderId="15" xfId="0" applyNumberFormat="1" applyFill="1" applyBorder="1"/>
    <xf numFmtId="0" fontId="0" fillId="21" borderId="15" xfId="0" applyNumberFormat="1" applyFill="1" applyBorder="1"/>
    <xf numFmtId="3" fontId="0" fillId="21" borderId="15" xfId="0" applyNumberFormat="1" applyFill="1" applyBorder="1"/>
    <xf numFmtId="3" fontId="0" fillId="8" borderId="15" xfId="0" applyNumberFormat="1" applyFill="1" applyBorder="1"/>
    <xf numFmtId="0" fontId="1" fillId="15" borderId="11" xfId="0" applyFont="1" applyFill="1" applyBorder="1" applyAlignment="1">
      <alignment horizontal="center"/>
    </xf>
    <xf numFmtId="0" fontId="1" fillId="15" borderId="11" xfId="0" applyFont="1" applyFill="1" applyBorder="1" applyAlignment="1"/>
    <xf numFmtId="4" fontId="0" fillId="19" borderId="11" xfId="0" applyNumberFormat="1" applyFill="1" applyBorder="1"/>
    <xf numFmtId="0" fontId="0" fillId="19" borderId="11" xfId="0" applyNumberFormat="1" applyFill="1" applyBorder="1"/>
    <xf numFmtId="3" fontId="0" fillId="19" borderId="11" xfId="0" applyNumberFormat="1" applyFill="1" applyBorder="1"/>
    <xf numFmtId="3" fontId="0" fillId="19" borderId="11" xfId="0" applyNumberFormat="1" applyFill="1" applyBorder="1" applyAlignment="1"/>
    <xf numFmtId="164" fontId="2" fillId="0" borderId="11" xfId="0" applyNumberFormat="1" applyFont="1" applyFill="1" applyBorder="1" applyAlignment="1">
      <alignment horizontal="right"/>
    </xf>
    <xf numFmtId="4" fontId="2" fillId="0" borderId="11" xfId="0" applyNumberFormat="1" applyFont="1" applyFill="1" applyBorder="1" applyAlignment="1">
      <alignment horizontal="right"/>
    </xf>
    <xf numFmtId="3" fontId="0" fillId="0" borderId="11" xfId="0" applyNumberFormat="1" applyBorder="1"/>
    <xf numFmtId="164" fontId="2" fillId="0" borderId="11" xfId="0" applyNumberFormat="1" applyFont="1" applyBorder="1"/>
    <xf numFmtId="0" fontId="2" fillId="0" borderId="11" xfId="0" applyFont="1" applyBorder="1"/>
    <xf numFmtId="0" fontId="12" fillId="0" borderId="11" xfId="0" applyFont="1" applyBorder="1"/>
    <xf numFmtId="166" fontId="2" fillId="0" borderId="11" xfId="0" applyNumberFormat="1" applyFont="1" applyFill="1" applyBorder="1" applyAlignment="1">
      <alignment horizontal="right"/>
    </xf>
    <xf numFmtId="0" fontId="2" fillId="0" borderId="11" xfId="0" applyFont="1" applyFill="1" applyBorder="1"/>
    <xf numFmtId="0" fontId="12" fillId="0" borderId="11" xfId="0" applyFont="1" applyFill="1" applyBorder="1"/>
    <xf numFmtId="0" fontId="0" fillId="0" borderId="11" xfId="0" applyBorder="1"/>
    <xf numFmtId="164" fontId="2" fillId="22" borderId="11" xfId="0" applyNumberFormat="1" applyFont="1" applyFill="1" applyBorder="1" applyAlignment="1">
      <alignment horizontal="right"/>
    </xf>
    <xf numFmtId="164" fontId="0" fillId="0" borderId="11" xfId="0" applyNumberFormat="1" applyBorder="1"/>
    <xf numFmtId="0" fontId="13" fillId="23" borderId="11" xfId="0" applyFont="1" applyFill="1" applyBorder="1" applyAlignment="1">
      <alignment horizontal="center" vertical="center" wrapText="1"/>
    </xf>
    <xf numFmtId="0" fontId="13" fillId="23" borderId="11" xfId="0" applyFont="1" applyFill="1" applyBorder="1" applyAlignment="1">
      <alignment horizontal="center" vertical="center"/>
    </xf>
    <xf numFmtId="166" fontId="14" fillId="0" borderId="11" xfId="0" applyNumberFormat="1" applyFont="1" applyFill="1" applyBorder="1" applyAlignment="1">
      <alignment horizontal="right"/>
    </xf>
    <xf numFmtId="164" fontId="2" fillId="0" borderId="11" xfId="0" applyNumberFormat="1" applyFont="1" applyBorder="1" applyAlignment="1">
      <alignment horizontal="right"/>
    </xf>
    <xf numFmtId="0" fontId="0" fillId="24" borderId="0" xfId="0" applyFill="1"/>
    <xf numFmtId="0" fontId="13" fillId="25" borderId="11" xfId="0" applyFont="1" applyFill="1" applyBorder="1" applyAlignment="1">
      <alignment horizontal="center" vertical="center" wrapText="1"/>
    </xf>
    <xf numFmtId="0" fontId="13" fillId="25" borderId="11" xfId="0" applyFont="1" applyFill="1" applyBorder="1" applyAlignment="1">
      <alignment horizontal="center" vertical="center"/>
    </xf>
    <xf numFmtId="0" fontId="13" fillId="26" borderId="11" xfId="0" applyFont="1" applyFill="1" applyBorder="1" applyAlignment="1">
      <alignment horizontal="center" vertical="center" wrapText="1"/>
    </xf>
    <xf numFmtId="0" fontId="13" fillId="26" borderId="11" xfId="0" applyFont="1" applyFill="1" applyBorder="1" applyAlignment="1">
      <alignment horizontal="center" vertical="center"/>
    </xf>
    <xf numFmtId="3" fontId="2" fillId="0" borderId="11" xfId="0" applyNumberFormat="1" applyFont="1" applyBorder="1"/>
    <xf numFmtId="0" fontId="13" fillId="9" borderId="11" xfId="0" applyFont="1" applyFill="1" applyBorder="1" applyAlignment="1">
      <alignment horizontal="center" vertical="center" wrapText="1"/>
    </xf>
    <xf numFmtId="0" fontId="13" fillId="9" borderId="11" xfId="0" applyFont="1" applyFill="1" applyBorder="1" applyAlignment="1">
      <alignment horizontal="center" vertical="center"/>
    </xf>
    <xf numFmtId="164" fontId="1" fillId="9" borderId="11" xfId="0" applyNumberFormat="1" applyFont="1" applyFill="1" applyBorder="1" applyAlignment="1">
      <alignment horizontal="center" vertical="center" wrapText="1"/>
    </xf>
    <xf numFmtId="165" fontId="1" fillId="9" borderId="11" xfId="0" applyNumberFormat="1" applyFont="1" applyFill="1" applyBorder="1" applyAlignment="1">
      <alignment vertical="center" wrapText="1"/>
    </xf>
    <xf numFmtId="164" fontId="2" fillId="0" borderId="0" xfId="0" applyNumberFormat="1" applyFont="1" applyFill="1" applyBorder="1" applyAlignment="1">
      <alignment horizontal="right"/>
    </xf>
    <xf numFmtId="166" fontId="2" fillId="0" borderId="0" xfId="0" applyNumberFormat="1" applyFont="1" applyFill="1" applyBorder="1" applyAlignment="1">
      <alignment horizontal="right"/>
    </xf>
    <xf numFmtId="164" fontId="2" fillId="2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12" fillId="0" borderId="0" xfId="0" applyFont="1" applyBorder="1"/>
    <xf numFmtId="3" fontId="2" fillId="0" borderId="0" xfId="0" applyNumberFormat="1" applyFont="1" applyBorder="1"/>
    <xf numFmtId="0" fontId="2" fillId="0" borderId="0" xfId="0" applyFont="1" applyFill="1" applyBorder="1"/>
    <xf numFmtId="0" fontId="12" fillId="0" borderId="0" xfId="0" applyFont="1" applyFill="1" applyBorder="1"/>
    <xf numFmtId="3" fontId="0" fillId="0" borderId="0" xfId="0" applyNumberFormat="1"/>
    <xf numFmtId="0" fontId="13" fillId="5" borderId="11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/>
    </xf>
    <xf numFmtId="165" fontId="0" fillId="0" borderId="11" xfId="0" applyNumberFormat="1" applyBorder="1"/>
    <xf numFmtId="164" fontId="1" fillId="5" borderId="11" xfId="0" applyNumberFormat="1" applyFont="1" applyFill="1" applyBorder="1" applyAlignment="1">
      <alignment horizontal="center" vertical="center" wrapText="1"/>
    </xf>
    <xf numFmtId="165" fontId="1" fillId="5" borderId="11" xfId="0" applyNumberFormat="1" applyFont="1" applyFill="1" applyBorder="1" applyAlignment="1">
      <alignment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1" fillId="0" borderId="11" xfId="0" applyFont="1" applyBorder="1"/>
    <xf numFmtId="165" fontId="12" fillId="0" borderId="11" xfId="0" applyNumberFormat="1" applyFont="1" applyBorder="1"/>
    <xf numFmtId="0" fontId="15" fillId="0" borderId="11" xfId="0" applyFont="1" applyBorder="1"/>
    <xf numFmtId="2" fontId="12" fillId="0" borderId="11" xfId="0" applyNumberFormat="1" applyFont="1" applyBorder="1"/>
    <xf numFmtId="2" fontId="2" fillId="0" borderId="11" xfId="0" applyNumberFormat="1" applyFont="1" applyBorder="1"/>
    <xf numFmtId="2" fontId="2" fillId="0" borderId="11" xfId="0" applyNumberFormat="1" applyFont="1" applyBorder="1" applyAlignment="1">
      <alignment horizontal="right"/>
    </xf>
    <xf numFmtId="0" fontId="2" fillId="13" borderId="11" xfId="0" applyFont="1" applyFill="1" applyBorder="1"/>
    <xf numFmtId="0" fontId="2" fillId="21" borderId="11" xfId="0" applyFont="1" applyFill="1" applyBorder="1"/>
    <xf numFmtId="2" fontId="2" fillId="22" borderId="11" xfId="0" applyNumberFormat="1" applyFont="1" applyFill="1" applyBorder="1" applyAlignment="1">
      <alignment horizontal="right"/>
    </xf>
    <xf numFmtId="2" fontId="2" fillId="0" borderId="11" xfId="0" applyNumberFormat="1" applyFont="1" applyFill="1" applyBorder="1" applyAlignment="1">
      <alignment horizontal="right"/>
    </xf>
    <xf numFmtId="0" fontId="16" fillId="5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/>
    </xf>
    <xf numFmtId="0" fontId="0" fillId="30" borderId="0" xfId="0" applyFill="1"/>
    <xf numFmtId="0" fontId="0" fillId="0" borderId="0" xfId="0" applyFill="1" applyBorder="1"/>
    <xf numFmtId="0" fontId="0" fillId="0" borderId="0" xfId="0" applyFill="1" applyBorder="1" applyAlignment="1">
      <alignment shrinkToFit="1"/>
    </xf>
    <xf numFmtId="49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0" fillId="30" borderId="0" xfId="0" applyNumberFormat="1" applyFill="1"/>
    <xf numFmtId="0" fontId="0" fillId="0" borderId="28" xfId="0" applyFill="1" applyBorder="1" applyAlignment="1">
      <alignment horizontal="center" vertical="center" wrapText="1"/>
    </xf>
    <xf numFmtId="0" fontId="0" fillId="0" borderId="19" xfId="0" applyBorder="1" applyAlignment="1">
      <alignment shrinkToFit="1"/>
    </xf>
    <xf numFmtId="0" fontId="0" fillId="18" borderId="0" xfId="0" applyFill="1"/>
    <xf numFmtId="0" fontId="0" fillId="31" borderId="0" xfId="0" applyFill="1"/>
    <xf numFmtId="0" fontId="0" fillId="32" borderId="0" xfId="0" applyFill="1"/>
    <xf numFmtId="165" fontId="18" fillId="32" borderId="0" xfId="0" applyNumberFormat="1" applyFont="1" applyFill="1" applyAlignment="1">
      <alignment vertical="center" shrinkToFit="1"/>
    </xf>
    <xf numFmtId="165" fontId="18" fillId="33" borderId="0" xfId="0" applyNumberFormat="1" applyFont="1" applyFill="1" applyAlignment="1">
      <alignment vertical="center" shrinkToFit="1"/>
    </xf>
    <xf numFmtId="165" fontId="18" fillId="10" borderId="0" xfId="0" applyNumberFormat="1" applyFont="1" applyFill="1" applyAlignment="1">
      <alignment vertical="center" shrinkToFit="1"/>
    </xf>
    <xf numFmtId="0" fontId="0" fillId="31" borderId="0" xfId="0" applyFill="1" applyBorder="1"/>
    <xf numFmtId="0" fontId="0" fillId="24" borderId="0" xfId="0" applyFill="1" applyBorder="1"/>
    <xf numFmtId="0" fontId="0" fillId="32" borderId="0" xfId="0" applyFill="1" applyBorder="1"/>
    <xf numFmtId="0" fontId="0" fillId="33" borderId="0" xfId="0" applyFill="1" applyBorder="1"/>
    <xf numFmtId="0" fontId="0" fillId="10" borderId="0" xfId="0" applyFill="1" applyBorder="1"/>
    <xf numFmtId="0" fontId="0" fillId="34" borderId="0" xfId="0" applyFill="1"/>
    <xf numFmtId="0" fontId="1" fillId="30" borderId="0" xfId="0" applyFont="1" applyFill="1"/>
    <xf numFmtId="165" fontId="18" fillId="34" borderId="0" xfId="0" applyNumberFormat="1" applyFont="1" applyFill="1" applyAlignment="1">
      <alignment horizontal="center" vertical="center" shrinkToFit="1"/>
    </xf>
    <xf numFmtId="0" fontId="19" fillId="10" borderId="0" xfId="0" applyFont="1" applyFill="1" applyAlignment="1" applyProtection="1">
      <alignment horizontal="center"/>
      <protection locked="0"/>
    </xf>
    <xf numFmtId="0" fontId="19" fillId="10" borderId="0" xfId="0" applyFont="1" applyFill="1" applyAlignment="1">
      <alignment horizontal="center"/>
    </xf>
    <xf numFmtId="2" fontId="20" fillId="12" borderId="0" xfId="0" applyNumberFormat="1" applyFont="1" applyFill="1" applyBorder="1" applyAlignment="1">
      <alignment horizontal="center" shrinkToFit="1"/>
    </xf>
    <xf numFmtId="0" fontId="20" fillId="12" borderId="0" xfId="0" applyFont="1" applyFill="1"/>
    <xf numFmtId="0" fontId="0" fillId="12" borderId="18" xfId="0" applyFill="1" applyBorder="1"/>
    <xf numFmtId="2" fontId="20" fillId="33" borderId="0" xfId="0" applyNumberFormat="1" applyFont="1" applyFill="1" applyBorder="1" applyAlignment="1">
      <alignment horizontal="center" shrinkToFit="1"/>
    </xf>
    <xf numFmtId="0" fontId="20" fillId="33" borderId="0" xfId="0" applyFont="1" applyFill="1" applyBorder="1"/>
    <xf numFmtId="0" fontId="0" fillId="33" borderId="18" xfId="0" applyFill="1" applyBorder="1"/>
    <xf numFmtId="2" fontId="20" fillId="25" borderId="0" xfId="0" applyNumberFormat="1" applyFont="1" applyFill="1" applyBorder="1" applyAlignment="1">
      <alignment horizontal="center" shrinkToFit="1"/>
    </xf>
    <xf numFmtId="0" fontId="20" fillId="25" borderId="0" xfId="0" applyFont="1" applyFill="1" applyBorder="1" applyAlignment="1">
      <alignment horizontal="left"/>
    </xf>
    <xf numFmtId="0" fontId="0" fillId="25" borderId="18" xfId="0" applyFill="1" applyBorder="1" applyAlignment="1">
      <alignment horizontal="center"/>
    </xf>
    <xf numFmtId="0" fontId="18" fillId="25" borderId="18" xfId="0" applyFont="1" applyFill="1" applyBorder="1" applyAlignment="1">
      <alignment horizontal="center" vertical="center"/>
    </xf>
    <xf numFmtId="0" fontId="0" fillId="12" borderId="0" xfId="0" applyFill="1" applyBorder="1"/>
    <xf numFmtId="0" fontId="0" fillId="25" borderId="18" xfId="0" applyFill="1" applyBorder="1"/>
    <xf numFmtId="0" fontId="0" fillId="25" borderId="0" xfId="0" applyFill="1" applyBorder="1"/>
    <xf numFmtId="0" fontId="19" fillId="25" borderId="18" xfId="0" applyFont="1" applyFill="1" applyBorder="1" applyAlignment="1">
      <alignment horizontal="center"/>
    </xf>
    <xf numFmtId="0" fontId="5" fillId="12" borderId="0" xfId="0" applyFont="1" applyFill="1" applyBorder="1" applyAlignment="1">
      <alignment horizontal="center"/>
    </xf>
    <xf numFmtId="0" fontId="5" fillId="33" borderId="0" xfId="0" applyFont="1" applyFill="1" applyBorder="1" applyAlignment="1">
      <alignment horizontal="center"/>
    </xf>
    <xf numFmtId="0" fontId="5" fillId="25" borderId="0" xfId="0" applyFont="1" applyFill="1" applyBorder="1" applyAlignment="1">
      <alignment horizontal="center"/>
    </xf>
    <xf numFmtId="0" fontId="0" fillId="0" borderId="4" xfId="0" applyNumberFormat="1" applyFill="1" applyBorder="1" applyAlignment="1" applyProtection="1">
      <alignment vertical="center"/>
      <protection locked="0"/>
    </xf>
    <xf numFmtId="2" fontId="0" fillId="5" borderId="0" xfId="0" applyNumberFormat="1" applyFill="1"/>
    <xf numFmtId="2" fontId="0" fillId="6" borderId="0" xfId="0" applyNumberFormat="1" applyFill="1"/>
    <xf numFmtId="2" fontId="0" fillId="5" borderId="0" xfId="0" applyNumberFormat="1" applyFill="1" applyBorder="1"/>
    <xf numFmtId="2" fontId="0" fillId="0" borderId="0" xfId="0" applyNumberFormat="1"/>
    <xf numFmtId="0" fontId="21" fillId="0" borderId="8" xfId="0" applyFont="1" applyBorder="1" applyProtection="1">
      <protection locked="0"/>
    </xf>
    <xf numFmtId="0" fontId="0" fillId="27" borderId="11" xfId="0" applyFill="1" applyBorder="1"/>
    <xf numFmtId="4" fontId="0" fillId="0" borderId="11" xfId="0" applyNumberFormat="1" applyBorder="1"/>
    <xf numFmtId="0" fontId="0" fillId="9" borderId="0" xfId="0" applyFill="1" applyAlignment="1"/>
    <xf numFmtId="0" fontId="0" fillId="0" borderId="0" xfId="0" applyFill="1" applyAlignment="1"/>
    <xf numFmtId="166" fontId="0" fillId="13" borderId="15" xfId="0" applyNumberFormat="1" applyFill="1" applyBorder="1"/>
    <xf numFmtId="166" fontId="0" fillId="20" borderId="15" xfId="0" applyNumberFormat="1" applyFill="1" applyBorder="1"/>
    <xf numFmtId="166" fontId="0" fillId="4" borderId="15" xfId="0" applyNumberFormat="1" applyFill="1" applyBorder="1"/>
    <xf numFmtId="165" fontId="1" fillId="16" borderId="11" xfId="0" applyNumberFormat="1" applyFont="1" applyFill="1" applyBorder="1" applyAlignment="1">
      <alignment vertical="center" wrapText="1"/>
    </xf>
    <xf numFmtId="0" fontId="13" fillId="16" borderId="11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center" vertical="center"/>
    </xf>
    <xf numFmtId="0" fontId="19" fillId="34" borderId="0" xfId="0" applyFont="1" applyFill="1" applyAlignment="1">
      <alignment vertical="center"/>
    </xf>
    <xf numFmtId="165" fontId="18" fillId="34" borderId="0" xfId="0" applyNumberFormat="1" applyFont="1" applyFill="1" applyAlignment="1">
      <alignment vertical="center" shrinkToFit="1"/>
    </xf>
    <xf numFmtId="165" fontId="18" fillId="25" borderId="0" xfId="0" applyNumberFormat="1" applyFont="1" applyFill="1" applyBorder="1" applyAlignment="1">
      <alignment horizontal="center" vertical="center" shrinkToFit="1"/>
    </xf>
    <xf numFmtId="0" fontId="0" fillId="25" borderId="0" xfId="0" applyFill="1"/>
    <xf numFmtId="165" fontId="18" fillId="33" borderId="0" xfId="0" applyNumberFormat="1" applyFont="1" applyFill="1" applyBorder="1" applyAlignment="1">
      <alignment vertical="center" shrinkToFit="1"/>
    </xf>
    <xf numFmtId="0" fontId="20" fillId="12" borderId="0" xfId="0" applyFont="1" applyFill="1" applyBorder="1"/>
    <xf numFmtId="0" fontId="20" fillId="12" borderId="19" xfId="0" applyFont="1" applyFill="1" applyBorder="1"/>
    <xf numFmtId="165" fontId="18" fillId="33" borderId="19" xfId="0" applyNumberFormat="1" applyFont="1" applyFill="1" applyBorder="1" applyAlignment="1">
      <alignment vertical="center" shrinkToFit="1"/>
    </xf>
    <xf numFmtId="0" fontId="0" fillId="25" borderId="19" xfId="0" applyFill="1" applyBorder="1"/>
    <xf numFmtId="0" fontId="0" fillId="18" borderId="0" xfId="0" applyFill="1" applyBorder="1"/>
    <xf numFmtId="0" fontId="20" fillId="18" borderId="0" xfId="0" applyFont="1" applyFill="1" applyBorder="1"/>
    <xf numFmtId="0" fontId="20" fillId="18" borderId="19" xfId="0" applyFont="1" applyFill="1" applyBorder="1"/>
    <xf numFmtId="0" fontId="0" fillId="18" borderId="18" xfId="0" applyFill="1" applyBorder="1"/>
    <xf numFmtId="0" fontId="5" fillId="18" borderId="0" xfId="0" applyFont="1" applyFill="1" applyBorder="1" applyAlignment="1">
      <alignment horizontal="center"/>
    </xf>
    <xf numFmtId="0" fontId="20" fillId="18" borderId="0" xfId="0" applyFont="1" applyFill="1"/>
    <xf numFmtId="2" fontId="20" fillId="18" borderId="0" xfId="0" applyNumberFormat="1" applyFont="1" applyFill="1" applyBorder="1" applyAlignment="1">
      <alignment horizontal="center" shrinkToFit="1"/>
    </xf>
    <xf numFmtId="0" fontId="0" fillId="35" borderId="0" xfId="0" applyFill="1" applyBorder="1"/>
    <xf numFmtId="0" fontId="0" fillId="35" borderId="18" xfId="0" applyFill="1" applyBorder="1"/>
    <xf numFmtId="0" fontId="5" fillId="35" borderId="0" xfId="0" applyFont="1" applyFill="1" applyBorder="1" applyAlignment="1">
      <alignment horizontal="center"/>
    </xf>
    <xf numFmtId="0" fontId="20" fillId="35" borderId="0" xfId="0" applyFont="1" applyFill="1"/>
    <xf numFmtId="2" fontId="20" fillId="35" borderId="0" xfId="0" applyNumberFormat="1" applyFont="1" applyFill="1" applyBorder="1" applyAlignment="1">
      <alignment horizontal="center" shrinkToFit="1"/>
    </xf>
    <xf numFmtId="0" fontId="20" fillId="35" borderId="0" xfId="0" applyFont="1" applyFill="1" applyBorder="1"/>
    <xf numFmtId="0" fontId="20" fillId="35" borderId="19" xfId="0" applyFont="1" applyFill="1" applyBorder="1"/>
    <xf numFmtId="165" fontId="24" fillId="18" borderId="0" xfId="0" applyNumberFormat="1" applyFont="1" applyFill="1" applyAlignment="1">
      <alignment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4" fontId="0" fillId="0" borderId="15" xfId="0" applyNumberFormat="1" applyFill="1" applyBorder="1" applyAlignment="1">
      <alignment horizontal="center" shrinkToFit="1"/>
    </xf>
    <xf numFmtId="4" fontId="0" fillId="0" borderId="37" xfId="0" applyNumberFormat="1" applyFill="1" applyBorder="1" applyAlignment="1">
      <alignment horizontal="center" shrinkToFit="1"/>
    </xf>
    <xf numFmtId="0" fontId="1" fillId="2" borderId="37" xfId="0" applyFont="1" applyFill="1" applyBorder="1" applyAlignment="1">
      <alignment horizontal="center" vertical="center" wrapText="1"/>
    </xf>
    <xf numFmtId="164" fontId="0" fillId="16" borderId="0" xfId="0" applyNumberFormat="1" applyFill="1"/>
    <xf numFmtId="164" fontId="0" fillId="5" borderId="0" xfId="0" applyNumberFormat="1" applyFill="1"/>
    <xf numFmtId="0" fontId="0" fillId="36" borderId="0" xfId="0" applyFill="1" applyBorder="1"/>
    <xf numFmtId="0" fontId="0" fillId="36" borderId="0" xfId="0" applyFill="1"/>
    <xf numFmtId="166" fontId="0" fillId="14" borderId="15" xfId="0" applyNumberFormat="1" applyFill="1" applyBorder="1"/>
    <xf numFmtId="0" fontId="1" fillId="16" borderId="39" xfId="0" applyFont="1" applyFill="1" applyBorder="1" applyAlignment="1">
      <alignment horizontal="center"/>
    </xf>
    <xf numFmtId="3" fontId="0" fillId="21" borderId="37" xfId="0" applyNumberFormat="1" applyFill="1" applyBorder="1"/>
    <xf numFmtId="0" fontId="1" fillId="7" borderId="15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 shrinkToFit="1"/>
    </xf>
    <xf numFmtId="4" fontId="0" fillId="0" borderId="0" xfId="0" applyNumberFormat="1" applyFill="1"/>
    <xf numFmtId="4" fontId="0" fillId="0" borderId="0" xfId="0" applyNumberFormat="1" applyFill="1" applyAlignment="1">
      <alignment shrinkToFit="1"/>
    </xf>
    <xf numFmtId="0" fontId="26" fillId="0" borderId="0" xfId="0" applyFont="1" applyBorder="1" applyAlignment="1">
      <alignment horizontal="right"/>
    </xf>
    <xf numFmtId="0" fontId="16" fillId="4" borderId="0" xfId="0" applyFont="1" applyFill="1" applyBorder="1" applyAlignment="1" applyProtection="1">
      <alignment horizontal="center" shrinkToFit="1"/>
      <protection hidden="1"/>
    </xf>
    <xf numFmtId="0" fontId="16" fillId="0" borderId="0" xfId="0" applyFont="1" applyFill="1" applyBorder="1" applyAlignment="1" applyProtection="1">
      <alignment horizontal="center" shrinkToFit="1"/>
      <protection hidden="1"/>
    </xf>
    <xf numFmtId="0" fontId="11" fillId="0" borderId="0" xfId="0" applyFont="1"/>
    <xf numFmtId="0" fontId="11" fillId="0" borderId="0" xfId="0" applyFont="1" applyFill="1"/>
    <xf numFmtId="0" fontId="28" fillId="0" borderId="0" xfId="0" applyFont="1" applyFill="1"/>
    <xf numFmtId="0" fontId="29" fillId="0" borderId="0" xfId="0" applyFont="1" applyBorder="1" applyAlignment="1">
      <alignment horizontal="right"/>
    </xf>
    <xf numFmtId="0" fontId="27" fillId="0" borderId="0" xfId="0" applyFont="1" applyFill="1" applyBorder="1" applyAlignment="1" applyProtection="1">
      <alignment horizontal="center" shrinkToFit="1"/>
      <protection hidden="1"/>
    </xf>
    <xf numFmtId="0" fontId="28" fillId="0" borderId="0" xfId="0" applyFont="1"/>
    <xf numFmtId="0" fontId="28" fillId="0" borderId="0" xfId="0" applyFont="1" applyAlignment="1">
      <alignment shrinkToFit="1"/>
    </xf>
    <xf numFmtId="1" fontId="0" fillId="5" borderId="0" xfId="0" applyNumberFormat="1" applyFill="1"/>
    <xf numFmtId="1" fontId="0" fillId="6" borderId="0" xfId="0" applyNumberFormat="1" applyFill="1"/>
    <xf numFmtId="1" fontId="0" fillId="0" borderId="0" xfId="0" applyNumberFormat="1"/>
    <xf numFmtId="1" fontId="0" fillId="0" borderId="0" xfId="0" applyNumberFormat="1" applyFill="1"/>
    <xf numFmtId="0" fontId="0" fillId="0" borderId="0" xfId="0" applyFill="1" applyAlignment="1">
      <alignment horizontal="center" vertical="center" wrapText="1"/>
    </xf>
    <xf numFmtId="14" fontId="1" fillId="5" borderId="0" xfId="0" applyNumberFormat="1" applyFont="1" applyFill="1" applyAlignment="1">
      <alignment horizontal="left"/>
    </xf>
    <xf numFmtId="0" fontId="1" fillId="5" borderId="0" xfId="0" applyFont="1" applyFill="1" applyAlignment="1">
      <alignment horizontal="right"/>
    </xf>
    <xf numFmtId="0" fontId="0" fillId="5" borderId="0" xfId="0" applyFill="1" applyAlignment="1"/>
    <xf numFmtId="0" fontId="1" fillId="4" borderId="4" xfId="0" applyFont="1" applyFill="1" applyBorder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0" fontId="0" fillId="5" borderId="0" xfId="0" applyFill="1" applyBorder="1" applyAlignment="1"/>
    <xf numFmtId="0" fontId="34" fillId="0" borderId="0" xfId="0" applyFont="1" applyBorder="1" applyAlignment="1">
      <alignment horizontal="right"/>
    </xf>
    <xf numFmtId="0" fontId="35" fillId="4" borderId="0" xfId="0" applyFont="1" applyFill="1" applyBorder="1" applyAlignment="1" applyProtection="1">
      <alignment horizontal="center" shrinkToFit="1"/>
      <protection hidden="1"/>
    </xf>
    <xf numFmtId="0" fontId="33" fillId="0" borderId="0" xfId="0" applyFont="1"/>
    <xf numFmtId="0" fontId="33" fillId="0" borderId="0" xfId="0" applyFont="1" applyAlignment="1">
      <alignment shrinkToFit="1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5" borderId="0" xfId="0" applyFill="1" applyBorder="1" applyAlignment="1">
      <alignment horizontal="left"/>
    </xf>
    <xf numFmtId="0" fontId="0" fillId="30" borderId="0" xfId="0" applyFill="1" applyAlignment="1">
      <alignment horizontal="left"/>
    </xf>
    <xf numFmtId="0" fontId="0" fillId="0" borderId="0" xfId="0" applyAlignment="1">
      <alignment horizontal="left"/>
    </xf>
    <xf numFmtId="0" fontId="33" fillId="0" borderId="0" xfId="0" applyFont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4" borderId="4" xfId="0" applyFont="1" applyFill="1" applyBorder="1"/>
    <xf numFmtId="0" fontId="39" fillId="0" borderId="0" xfId="0" applyFont="1"/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165" fontId="0" fillId="0" borderId="0" xfId="0" applyNumberFormat="1" applyFill="1" applyAlignment="1">
      <alignment horizontal="left" vertical="center"/>
    </xf>
    <xf numFmtId="0" fontId="6" fillId="38" borderId="0" xfId="0" applyFont="1" applyFill="1"/>
    <xf numFmtId="0" fontId="0" fillId="38" borderId="0" xfId="0" applyFill="1"/>
    <xf numFmtId="0" fontId="30" fillId="0" borderId="11" xfId="0" applyFont="1" applyBorder="1" applyAlignment="1">
      <alignment horizontal="center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33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33" fillId="0" borderId="4" xfId="0" applyFont="1" applyBorder="1" applyAlignment="1" applyProtection="1">
      <alignment horizontal="center"/>
      <protection locked="0"/>
    </xf>
    <xf numFmtId="0" fontId="30" fillId="0" borderId="43" xfId="0" applyFont="1" applyBorder="1" applyAlignment="1" applyProtection="1">
      <alignment horizontal="center" vertical="center"/>
      <protection locked="0"/>
    </xf>
    <xf numFmtId="0" fontId="1" fillId="0" borderId="43" xfId="0" applyFont="1" applyBorder="1" applyAlignment="1" applyProtection="1">
      <alignment horizontal="center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30" fillId="5" borderId="43" xfId="0" applyFont="1" applyFill="1" applyBorder="1" applyAlignment="1" applyProtection="1">
      <alignment horizontal="center"/>
    </xf>
    <xf numFmtId="0" fontId="42" fillId="40" borderId="43" xfId="0" applyFont="1" applyFill="1" applyBorder="1" applyAlignment="1" applyProtection="1">
      <alignment horizontal="center"/>
    </xf>
    <xf numFmtId="0" fontId="30" fillId="0" borderId="43" xfId="0" applyFont="1" applyBorder="1" applyAlignment="1" applyProtection="1">
      <alignment horizontal="center" vertical="center"/>
    </xf>
    <xf numFmtId="0" fontId="1" fillId="0" borderId="43" xfId="0" applyFont="1" applyBorder="1" applyAlignment="1" applyProtection="1">
      <alignment horizontal="center"/>
    </xf>
    <xf numFmtId="0" fontId="27" fillId="37" borderId="40" xfId="0" applyFont="1" applyFill="1" applyBorder="1" applyAlignment="1" applyProtection="1">
      <alignment horizontal="center" vertical="center"/>
    </xf>
    <xf numFmtId="0" fontId="0" fillId="0" borderId="11" xfId="0" applyBorder="1" applyProtection="1"/>
    <xf numFmtId="0" fontId="30" fillId="5" borderId="0" xfId="0" applyFont="1" applyFill="1" applyAlignment="1">
      <alignment horizontal="right" vertical="center"/>
    </xf>
    <xf numFmtId="14" fontId="30" fillId="5" borderId="0" xfId="0" applyNumberFormat="1" applyFont="1" applyFill="1" applyAlignment="1">
      <alignment horizontal="left" vertical="center"/>
    </xf>
    <xf numFmtId="0" fontId="41" fillId="5" borderId="0" xfId="0" applyFont="1" applyFill="1" applyBorder="1" applyAlignment="1">
      <alignment horizontal="center" vertical="center"/>
    </xf>
    <xf numFmtId="0" fontId="40" fillId="5" borderId="0" xfId="0" applyFont="1" applyFill="1" applyBorder="1" applyAlignment="1">
      <alignment horizontal="center" vertical="center"/>
    </xf>
    <xf numFmtId="3" fontId="0" fillId="8" borderId="15" xfId="0" applyNumberForma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5" fillId="17" borderId="11" xfId="0" applyFont="1" applyFill="1" applyBorder="1" applyAlignment="1">
      <alignment horizontal="center"/>
    </xf>
    <xf numFmtId="0" fontId="5" fillId="18" borderId="24" xfId="0" applyFont="1" applyFill="1" applyBorder="1" applyAlignment="1">
      <alignment horizontal="center"/>
    </xf>
    <xf numFmtId="0" fontId="5" fillId="18" borderId="25" xfId="0" applyFont="1" applyFill="1" applyBorder="1" applyAlignment="1">
      <alignment horizontal="center"/>
    </xf>
    <xf numFmtId="0" fontId="5" fillId="18" borderId="26" xfId="0" applyFont="1" applyFill="1" applyBorder="1" applyAlignment="1">
      <alignment horizontal="center"/>
    </xf>
    <xf numFmtId="0" fontId="5" fillId="16" borderId="11" xfId="0" applyFont="1" applyFill="1" applyBorder="1" applyAlignment="1">
      <alignment horizontal="center"/>
    </xf>
    <xf numFmtId="0" fontId="5" fillId="16" borderId="24" xfId="0" applyFont="1" applyFill="1" applyBorder="1" applyAlignment="1">
      <alignment horizontal="center"/>
    </xf>
    <xf numFmtId="4" fontId="7" fillId="4" borderId="15" xfId="0" applyNumberFormat="1" applyFont="1" applyFill="1" applyBorder="1" applyAlignment="1">
      <alignment horizontal="center" vertical="center" wrapText="1"/>
    </xf>
    <xf numFmtId="4" fontId="25" fillId="4" borderId="15" xfId="0" applyNumberFormat="1" applyFont="1" applyFill="1" applyBorder="1" applyAlignment="1">
      <alignment horizontal="center" vertical="center" wrapText="1"/>
    </xf>
    <xf numFmtId="0" fontId="10" fillId="10" borderId="13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15" borderId="11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 wrapText="1"/>
    </xf>
    <xf numFmtId="4" fontId="8" fillId="0" borderId="16" xfId="0" applyNumberFormat="1" applyFont="1" applyBorder="1" applyAlignment="1">
      <alignment horizontal="center" vertical="center"/>
    </xf>
    <xf numFmtId="4" fontId="8" fillId="0" borderId="22" xfId="0" applyNumberFormat="1" applyFont="1" applyBorder="1" applyAlignment="1">
      <alignment horizontal="center" vertical="center"/>
    </xf>
    <xf numFmtId="4" fontId="8" fillId="0" borderId="17" xfId="0" applyNumberFormat="1" applyFont="1" applyBorder="1" applyAlignment="1">
      <alignment horizontal="center" vertical="center"/>
    </xf>
    <xf numFmtId="4" fontId="8" fillId="0" borderId="18" xfId="0" applyNumberFormat="1" applyFont="1" applyBorder="1" applyAlignment="1">
      <alignment horizontal="center" vertical="center"/>
    </xf>
    <xf numFmtId="4" fontId="8" fillId="0" borderId="0" xfId="0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horizontal="center" vertical="center"/>
    </xf>
    <xf numFmtId="4" fontId="8" fillId="0" borderId="20" xfId="0" applyNumberFormat="1" applyFont="1" applyBorder="1" applyAlignment="1">
      <alignment horizontal="center" vertical="center"/>
    </xf>
    <xf numFmtId="4" fontId="8" fillId="0" borderId="23" xfId="0" applyNumberFormat="1" applyFont="1" applyBorder="1" applyAlignment="1">
      <alignment horizontal="center" vertical="center"/>
    </xf>
    <xf numFmtId="4" fontId="8" fillId="0" borderId="21" xfId="0" applyNumberFormat="1" applyFont="1" applyBorder="1" applyAlignment="1">
      <alignment horizontal="center" vertical="center"/>
    </xf>
    <xf numFmtId="0" fontId="5" fillId="10" borderId="11" xfId="0" applyFont="1" applyFill="1" applyBorder="1" applyAlignment="1">
      <alignment horizontal="center"/>
    </xf>
    <xf numFmtId="0" fontId="5" fillId="12" borderId="24" xfId="0" applyFont="1" applyFill="1" applyBorder="1" applyAlignment="1">
      <alignment horizontal="center"/>
    </xf>
    <xf numFmtId="0" fontId="5" fillId="12" borderId="25" xfId="0" applyFont="1" applyFill="1" applyBorder="1" applyAlignment="1">
      <alignment horizontal="center"/>
    </xf>
    <xf numFmtId="0" fontId="5" fillId="12" borderId="26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3" fontId="0" fillId="8" borderId="15" xfId="0" applyNumberFormat="1" applyFill="1" applyBorder="1" applyAlignment="1">
      <alignment horizontal="left"/>
    </xf>
    <xf numFmtId="0" fontId="1" fillId="30" borderId="0" xfId="0" applyFont="1" applyFill="1" applyAlignment="1">
      <alignment horizontal="center"/>
    </xf>
    <xf numFmtId="0" fontId="1" fillId="30" borderId="0" xfId="0" applyFont="1" applyFill="1" applyAlignment="1">
      <alignment horizontal="center" vertical="center"/>
    </xf>
    <xf numFmtId="0" fontId="10" fillId="16" borderId="0" xfId="0" applyFont="1" applyFill="1" applyBorder="1" applyAlignment="1">
      <alignment horizontal="center" vertical="center"/>
    </xf>
    <xf numFmtId="165" fontId="0" fillId="30" borderId="0" xfId="0" applyNumberFormat="1" applyFill="1" applyAlignment="1" applyProtection="1">
      <alignment horizontal="center" shrinkToFit="1"/>
      <protection locked="0"/>
    </xf>
    <xf numFmtId="4" fontId="0" fillId="30" borderId="0" xfId="0" applyNumberFormat="1" applyFill="1" applyAlignment="1">
      <alignment horizontal="center"/>
    </xf>
    <xf numFmtId="4" fontId="0" fillId="0" borderId="37" xfId="0" applyNumberFormat="1" applyFill="1" applyBorder="1" applyAlignment="1">
      <alignment horizontal="center" shrinkToFit="1"/>
    </xf>
    <xf numFmtId="4" fontId="0" fillId="0" borderId="38" xfId="0" applyNumberFormat="1" applyFill="1" applyBorder="1" applyAlignment="1">
      <alignment horizontal="center" shrinkToFit="1"/>
    </xf>
    <xf numFmtId="0" fontId="1" fillId="11" borderId="37" xfId="0" applyFont="1" applyFill="1" applyBorder="1" applyAlignment="1">
      <alignment horizontal="center" vertical="center" wrapText="1"/>
    </xf>
    <xf numFmtId="0" fontId="1" fillId="11" borderId="38" xfId="0" applyFont="1" applyFill="1" applyBorder="1" applyAlignment="1">
      <alignment horizontal="center" vertical="center" wrapText="1"/>
    </xf>
    <xf numFmtId="0" fontId="0" fillId="18" borderId="0" xfId="0" applyFill="1" applyBorder="1" applyAlignment="1">
      <alignment horizontal="center" vertical="center"/>
    </xf>
    <xf numFmtId="0" fontId="0" fillId="18" borderId="19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3" fontId="0" fillId="0" borderId="15" xfId="0" applyNumberFormat="1" applyFill="1" applyBorder="1" applyAlignment="1">
      <alignment horizontal="left" shrinkToFit="1"/>
    </xf>
    <xf numFmtId="0" fontId="1" fillId="2" borderId="35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4" fontId="0" fillId="0" borderId="15" xfId="0" applyNumberFormat="1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18" fillId="25" borderId="0" xfId="0" applyFont="1" applyFill="1" applyBorder="1" applyAlignment="1" applyProtection="1">
      <alignment horizontal="center" vertical="center" shrinkToFit="1"/>
      <protection locked="0"/>
    </xf>
    <xf numFmtId="0" fontId="18" fillId="33" borderId="0" xfId="0" applyFont="1" applyFill="1" applyBorder="1" applyAlignment="1" applyProtection="1">
      <alignment horizontal="center" vertical="center" shrinkToFit="1"/>
      <protection locked="0"/>
    </xf>
    <xf numFmtId="0" fontId="18" fillId="12" borderId="0" xfId="0" applyFont="1" applyFill="1" applyBorder="1" applyAlignment="1" applyProtection="1">
      <alignment horizontal="center" vertical="center" shrinkToFit="1"/>
      <protection locked="0"/>
    </xf>
    <xf numFmtId="0" fontId="5" fillId="0" borderId="8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24" fillId="18" borderId="0" xfId="0" applyFont="1" applyFill="1" applyAlignment="1">
      <alignment horizontal="center" vertical="center"/>
    </xf>
    <xf numFmtId="165" fontId="24" fillId="18" borderId="0" xfId="0" applyNumberFormat="1" applyFont="1" applyFill="1" applyAlignment="1">
      <alignment horizontal="center" vertical="center"/>
    </xf>
    <xf numFmtId="4" fontId="25" fillId="5" borderId="29" xfId="0" applyNumberFormat="1" applyFont="1" applyFill="1" applyBorder="1" applyAlignment="1">
      <alignment horizontal="center" vertical="center" wrapText="1"/>
    </xf>
    <xf numFmtId="4" fontId="25" fillId="5" borderId="30" xfId="0" applyNumberFormat="1" applyFont="1" applyFill="1" applyBorder="1" applyAlignment="1">
      <alignment horizontal="center" vertical="center" wrapText="1"/>
    </xf>
    <xf numFmtId="4" fontId="25" fillId="5" borderId="31" xfId="0" applyNumberFormat="1" applyFont="1" applyFill="1" applyBorder="1" applyAlignment="1">
      <alignment horizontal="center" vertical="center" wrapText="1"/>
    </xf>
    <xf numFmtId="4" fontId="25" fillId="5" borderId="32" xfId="0" applyNumberFormat="1" applyFont="1" applyFill="1" applyBorder="1" applyAlignment="1">
      <alignment horizontal="center" vertical="center" wrapText="1"/>
    </xf>
    <xf numFmtId="4" fontId="25" fillId="5" borderId="33" xfId="0" applyNumberFormat="1" applyFont="1" applyFill="1" applyBorder="1" applyAlignment="1">
      <alignment horizontal="center" vertical="center" wrapText="1"/>
    </xf>
    <xf numFmtId="4" fontId="25" fillId="5" borderId="34" xfId="0" applyNumberFormat="1" applyFont="1" applyFill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19" fillId="25" borderId="0" xfId="0" applyFont="1" applyFill="1" applyBorder="1" applyAlignment="1">
      <alignment horizontal="center" vertical="center"/>
    </xf>
    <xf numFmtId="0" fontId="19" fillId="33" borderId="0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22" fillId="25" borderId="0" xfId="0" applyFont="1" applyFill="1" applyBorder="1" applyAlignment="1">
      <alignment horizontal="center"/>
    </xf>
    <xf numFmtId="0" fontId="22" fillId="33" borderId="0" xfId="0" applyFont="1" applyFill="1" applyBorder="1" applyAlignment="1">
      <alignment horizontal="center"/>
    </xf>
    <xf numFmtId="0" fontId="22" fillId="33" borderId="19" xfId="0" applyFont="1" applyFill="1" applyBorder="1" applyAlignment="1">
      <alignment horizontal="center"/>
    </xf>
    <xf numFmtId="0" fontId="22" fillId="12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165" fontId="18" fillId="18" borderId="0" xfId="0" applyNumberFormat="1" applyFont="1" applyFill="1" applyBorder="1" applyAlignment="1">
      <alignment horizontal="center" vertical="center" shrinkToFit="1"/>
    </xf>
    <xf numFmtId="165" fontId="18" fillId="18" borderId="19" xfId="0" applyNumberFormat="1" applyFont="1" applyFill="1" applyBorder="1" applyAlignment="1">
      <alignment horizontal="center" vertical="center" shrinkToFit="1"/>
    </xf>
    <xf numFmtId="165" fontId="18" fillId="35" borderId="0" xfId="0" applyNumberFormat="1" applyFont="1" applyFill="1" applyBorder="1" applyAlignment="1">
      <alignment horizontal="center" vertical="center" shrinkToFit="1"/>
    </xf>
    <xf numFmtId="165" fontId="18" fillId="35" borderId="19" xfId="0" applyNumberFormat="1" applyFont="1" applyFill="1" applyBorder="1" applyAlignment="1">
      <alignment horizontal="center" vertical="center" shrinkToFit="1"/>
    </xf>
    <xf numFmtId="0" fontId="19" fillId="18" borderId="0" xfId="0" applyFont="1" applyFill="1" applyBorder="1" applyAlignment="1">
      <alignment horizontal="center" vertical="center"/>
    </xf>
    <xf numFmtId="0" fontId="19" fillId="35" borderId="0" xfId="0" applyFont="1" applyFill="1" applyBorder="1" applyAlignment="1">
      <alignment horizontal="center" vertical="center"/>
    </xf>
    <xf numFmtId="0" fontId="22" fillId="18" borderId="0" xfId="0" applyFont="1" applyFill="1" applyBorder="1" applyAlignment="1">
      <alignment horizontal="center"/>
    </xf>
    <xf numFmtId="0" fontId="22" fillId="35" borderId="0" xfId="0" applyFont="1" applyFill="1" applyBorder="1" applyAlignment="1">
      <alignment horizontal="center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18" fillId="35" borderId="0" xfId="0" applyFont="1" applyFill="1" applyBorder="1" applyAlignment="1" applyProtection="1">
      <alignment horizontal="center" vertical="center" shrinkToFit="1"/>
      <protection locked="0"/>
    </xf>
    <xf numFmtId="0" fontId="0" fillId="33" borderId="19" xfId="0" applyFill="1" applyBorder="1" applyAlignment="1">
      <alignment horizontal="center"/>
    </xf>
    <xf numFmtId="165" fontId="18" fillId="25" borderId="0" xfId="0" applyNumberFormat="1" applyFont="1" applyFill="1" applyBorder="1" applyAlignment="1">
      <alignment horizontal="center" vertical="center" shrinkToFit="1"/>
    </xf>
    <xf numFmtId="165" fontId="18" fillId="25" borderId="19" xfId="0" applyNumberFormat="1" applyFont="1" applyFill="1" applyBorder="1" applyAlignment="1">
      <alignment horizontal="center" vertical="center" shrinkToFit="1"/>
    </xf>
    <xf numFmtId="165" fontId="18" fillId="33" borderId="0" xfId="0" applyNumberFormat="1" applyFont="1" applyFill="1" applyBorder="1" applyAlignment="1">
      <alignment horizontal="center" vertical="center" shrinkToFit="1"/>
    </xf>
    <xf numFmtId="165" fontId="18" fillId="33" borderId="19" xfId="0" applyNumberFormat="1" applyFont="1" applyFill="1" applyBorder="1" applyAlignment="1">
      <alignment horizontal="center" vertical="center" shrinkToFit="1"/>
    </xf>
    <xf numFmtId="165" fontId="18" fillId="12" borderId="0" xfId="0" applyNumberFormat="1" applyFont="1" applyFill="1" applyBorder="1" applyAlignment="1">
      <alignment horizontal="center" vertical="center" shrinkToFit="1"/>
    </xf>
    <xf numFmtId="165" fontId="18" fillId="12" borderId="19" xfId="0" applyNumberFormat="1" applyFont="1" applyFill="1" applyBorder="1" applyAlignment="1">
      <alignment horizontal="center" vertical="center" shrinkToFit="1"/>
    </xf>
    <xf numFmtId="0" fontId="17" fillId="18" borderId="0" xfId="0" applyFont="1" applyFill="1" applyAlignment="1">
      <alignment horizontal="center" vertical="center"/>
    </xf>
    <xf numFmtId="2" fontId="17" fillId="18" borderId="0" xfId="0" applyNumberFormat="1" applyFont="1" applyFill="1" applyAlignment="1">
      <alignment horizontal="center" vertical="center" shrinkToFit="1"/>
    </xf>
    <xf numFmtId="0" fontId="19" fillId="36" borderId="0" xfId="0" applyFont="1" applyFill="1" applyBorder="1" applyAlignment="1">
      <alignment horizontal="center"/>
    </xf>
    <xf numFmtId="0" fontId="0" fillId="36" borderId="0" xfId="0" applyFill="1" applyBorder="1" applyAlignment="1">
      <alignment horizontal="center"/>
    </xf>
    <xf numFmtId="0" fontId="17" fillId="36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33" borderId="0" xfId="0" applyFont="1" applyFill="1" applyAlignment="1">
      <alignment horizontal="center" vertical="center"/>
    </xf>
    <xf numFmtId="0" fontId="17" fillId="32" borderId="0" xfId="0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7" fillId="31" borderId="0" xfId="0" applyFont="1" applyFill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32" borderId="0" xfId="0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19" fillId="10" borderId="0" xfId="0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0" fontId="19" fillId="32" borderId="0" xfId="0" applyFont="1" applyFill="1" applyBorder="1" applyAlignment="1">
      <alignment horizontal="center"/>
    </xf>
    <xf numFmtId="0" fontId="19" fillId="24" borderId="0" xfId="0" applyFont="1" applyFill="1" applyBorder="1" applyAlignment="1">
      <alignment horizontal="center"/>
    </xf>
    <xf numFmtId="0" fontId="19" fillId="31" borderId="0" xfId="0" applyFont="1" applyFill="1" applyBorder="1" applyAlignment="1">
      <alignment horizontal="center"/>
    </xf>
    <xf numFmtId="0" fontId="1" fillId="23" borderId="11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16" borderId="24" xfId="0" applyFont="1" applyFill="1" applyBorder="1" applyAlignment="1">
      <alignment horizontal="center" vertical="center" wrapText="1"/>
    </xf>
    <xf numFmtId="0" fontId="1" fillId="16" borderId="25" xfId="0" applyFont="1" applyFill="1" applyBorder="1" applyAlignment="1">
      <alignment horizontal="center" vertical="center" wrapText="1"/>
    </xf>
    <xf numFmtId="0" fontId="1" fillId="16" borderId="26" xfId="0" applyFont="1" applyFill="1" applyBorder="1" applyAlignment="1">
      <alignment horizontal="center" vertical="center" wrapText="1"/>
    </xf>
    <xf numFmtId="0" fontId="1" fillId="16" borderId="11" xfId="0" applyFont="1" applyFill="1" applyBorder="1" applyAlignment="1">
      <alignment horizontal="center" vertical="center" wrapText="1"/>
    </xf>
    <xf numFmtId="0" fontId="1" fillId="25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0" fillId="28" borderId="11" xfId="0" applyFill="1" applyBorder="1" applyAlignment="1">
      <alignment horizontal="center"/>
    </xf>
    <xf numFmtId="0" fontId="1" fillId="26" borderId="11" xfId="0" applyFont="1" applyFill="1" applyBorder="1" applyAlignment="1">
      <alignment horizontal="center"/>
    </xf>
    <xf numFmtId="0" fontId="0" fillId="24" borderId="0" xfId="0" applyFill="1" applyAlignment="1">
      <alignment horizontal="center" wrapText="1"/>
    </xf>
    <xf numFmtId="0" fontId="1" fillId="29" borderId="11" xfId="0" applyFont="1" applyFill="1" applyBorder="1" applyAlignment="1">
      <alignment horizontal="center" wrapText="1"/>
    </xf>
    <xf numFmtId="0" fontId="27" fillId="37" borderId="40" xfId="0" applyFont="1" applyFill="1" applyBorder="1" applyAlignment="1">
      <alignment horizontal="center" vertical="center"/>
    </xf>
    <xf numFmtId="0" fontId="27" fillId="37" borderId="10" xfId="0" applyFont="1" applyFill="1" applyBorder="1" applyAlignment="1">
      <alignment horizontal="center" vertical="center"/>
    </xf>
    <xf numFmtId="0" fontId="27" fillId="37" borderId="41" xfId="0" applyFont="1" applyFill="1" applyBorder="1" applyAlignment="1" applyProtection="1">
      <alignment horizontal="center" vertical="center"/>
    </xf>
    <xf numFmtId="0" fontId="27" fillId="37" borderId="42" xfId="0" applyFont="1" applyFill="1" applyBorder="1" applyAlignment="1" applyProtection="1">
      <alignment horizontal="center" vertical="center"/>
    </xf>
    <xf numFmtId="0" fontId="9" fillId="0" borderId="46" xfId="0" applyFont="1" applyBorder="1" applyAlignment="1" applyProtection="1">
      <alignment horizontal="center"/>
      <protection locked="0"/>
    </xf>
    <xf numFmtId="0" fontId="9" fillId="0" borderId="48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0" fillId="5" borderId="0" xfId="0" applyFill="1" applyBorder="1" applyAlignment="1">
      <alignment horizontal="center"/>
    </xf>
    <xf numFmtId="0" fontId="27" fillId="37" borderId="40" xfId="0" applyFont="1" applyFill="1" applyBorder="1" applyAlignment="1" applyProtection="1">
      <alignment horizontal="center" vertical="center"/>
    </xf>
    <xf numFmtId="0" fontId="27" fillId="37" borderId="10" xfId="0" applyFont="1" applyFill="1" applyBorder="1" applyAlignment="1" applyProtection="1">
      <alignment horizontal="center" vertical="center"/>
    </xf>
    <xf numFmtId="0" fontId="9" fillId="0" borderId="44" xfId="0" applyFont="1" applyBorder="1" applyAlignment="1" applyProtection="1">
      <alignment horizontal="center" vertical="center"/>
    </xf>
    <xf numFmtId="0" fontId="9" fillId="0" borderId="45" xfId="0" applyFont="1" applyBorder="1" applyAlignment="1" applyProtection="1">
      <alignment horizontal="center" vertical="center"/>
    </xf>
    <xf numFmtId="0" fontId="9" fillId="0" borderId="43" xfId="0" applyFont="1" applyBorder="1" applyAlignment="1" applyProtection="1">
      <alignment horizontal="center" vertical="center"/>
      <protection locked="0"/>
    </xf>
    <xf numFmtId="0" fontId="30" fillId="5" borderId="43" xfId="0" applyFont="1" applyFill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0" fontId="30" fillId="2" borderId="11" xfId="0" applyFont="1" applyFill="1" applyBorder="1" applyAlignment="1">
      <alignment horizontal="center" vertical="center"/>
    </xf>
    <xf numFmtId="0" fontId="34" fillId="0" borderId="0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10" fillId="25" borderId="0" xfId="0" applyFont="1" applyFill="1" applyBorder="1" applyAlignment="1">
      <alignment horizontal="center"/>
    </xf>
    <xf numFmtId="0" fontId="32" fillId="4" borderId="0" xfId="0" applyFont="1" applyFill="1" applyBorder="1" applyAlignment="1">
      <alignment horizontal="center"/>
    </xf>
    <xf numFmtId="0" fontId="32" fillId="4" borderId="0" xfId="0" applyFont="1" applyFill="1" applyBorder="1" applyAlignment="1">
      <alignment horizontal="center" shrinkToFit="1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9" fillId="39" borderId="23" xfId="0" applyFont="1" applyFill="1" applyBorder="1" applyAlignment="1">
      <alignment horizontal="center"/>
    </xf>
    <xf numFmtId="0" fontId="33" fillId="4" borderId="8" xfId="0" applyFont="1" applyFill="1" applyBorder="1" applyAlignment="1">
      <alignment horizontal="center"/>
    </xf>
    <xf numFmtId="0" fontId="33" fillId="4" borderId="6" xfId="0" applyFont="1" applyFill="1" applyBorder="1" applyAlignment="1">
      <alignment horizontal="center"/>
    </xf>
    <xf numFmtId="0" fontId="38" fillId="4" borderId="0" xfId="0" applyFont="1" applyFill="1" applyBorder="1" applyAlignment="1">
      <alignment horizontal="center"/>
    </xf>
  </cellXfs>
  <cellStyles count="1">
    <cellStyle name="Normal" xfId="0" builtinId="0"/>
  </cellStyles>
  <dxfs count="79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</dxf>
    <dxf>
      <numFmt numFmtId="16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numFmt numFmtId="4" formatCode="#,##0.00"/>
      <alignment horizontal="general" vertical="bottom" textRotation="0" wrapText="0" indent="0" justifyLastLine="0" shrinkToFit="1" readingOrder="0"/>
    </dxf>
    <dxf>
      <alignment horizontal="general" vertical="bottom" textRotation="0" wrapText="0" indent="0" justifyLastLine="0" shrinkToFit="1" readingOrder="0"/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numFmt numFmtId="165" formatCode="&quot;R$&quot;\ #,##0.0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65" formatCode="&quot;R$&quot;\ #,##0.00"/>
      <fill>
        <patternFill patternType="none">
          <fgColor indexed="64"/>
          <bgColor indexed="65"/>
        </patternFill>
      </fill>
    </dxf>
    <dxf>
      <numFmt numFmtId="165" formatCode="&quot;R$&quot;\ #,##0.00"/>
    </dxf>
    <dxf>
      <numFmt numFmtId="167" formatCode="m/d/yyyy"/>
      <fill>
        <patternFill patternType="none">
          <fgColor indexed="64"/>
          <bgColor indexed="65"/>
        </patternFill>
      </fill>
    </dxf>
    <dxf>
      <numFmt numFmtId="165" formatCode="&quot;R$&quot;\ 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1" defaultTableStyle="TableStyleMedium2" defaultPivotStyle="PivotStyleLight16">
    <tableStyle name="Estilo de Tabela 1" pivot="0" count="0"/>
  </tableStyles>
  <colors>
    <mruColors>
      <color rgb="FFEA42D2"/>
      <color rgb="FFF8C8F1"/>
      <color rgb="FFCD9B69"/>
      <color rgb="FFD876A2"/>
      <color rgb="FFFAD6F5"/>
      <color rgb="FFEF71DD"/>
      <color rgb="FFF4A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7" Type="http://schemas.openxmlformats.org/officeDocument/2006/relationships/hyperlink" Target="#CESTAS!A1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hyperlink" Target="#'ENTRADA | SAIDA'!A1"/><Relationship Id="rId5" Type="http://schemas.openxmlformats.org/officeDocument/2006/relationships/image" Target="../media/image2.png"/><Relationship Id="rId4" Type="http://schemas.openxmlformats.org/officeDocument/2006/relationships/hyperlink" Target="#RELATORI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DASTRO!A1"/><Relationship Id="rId2" Type="http://schemas.openxmlformats.org/officeDocument/2006/relationships/image" Target="../media/image3.png"/><Relationship Id="rId1" Type="http://schemas.openxmlformats.org/officeDocument/2006/relationships/hyperlink" Target="#'ENTRADA | SAIDA'!A1"/><Relationship Id="rId6" Type="http://schemas.openxmlformats.org/officeDocument/2006/relationships/hyperlink" Target="#CESTAS!A1"/><Relationship Id="rId5" Type="http://schemas.openxmlformats.org/officeDocument/2006/relationships/hyperlink" Target="#RELATORIOS!A1"/><Relationship Id="rId4" Type="http://schemas.openxmlformats.org/officeDocument/2006/relationships/hyperlink" Target="#ESTOQU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DASTRO!A1"/><Relationship Id="rId2" Type="http://schemas.openxmlformats.org/officeDocument/2006/relationships/image" Target="../media/image4.png"/><Relationship Id="rId1" Type="http://schemas.openxmlformats.org/officeDocument/2006/relationships/hyperlink" Target="#ESTOQUE!A1"/><Relationship Id="rId6" Type="http://schemas.openxmlformats.org/officeDocument/2006/relationships/hyperlink" Target="#RELATORIOS!A1"/><Relationship Id="rId5" Type="http://schemas.openxmlformats.org/officeDocument/2006/relationships/hyperlink" Target="#CESTAS!A1"/><Relationship Id="rId4" Type="http://schemas.openxmlformats.org/officeDocument/2006/relationships/hyperlink" Target="#'ENTRADA | SAIDA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MONTAGEM CESTA'!A1"/><Relationship Id="rId3" Type="http://schemas.openxmlformats.org/officeDocument/2006/relationships/hyperlink" Target="#'ENTRADA | SAIDA'!A1"/><Relationship Id="rId7" Type="http://schemas.openxmlformats.org/officeDocument/2006/relationships/hyperlink" Target="#'CESTAS MONTADAS'!A1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hyperlink" Target="#RELATORIOS!A1"/><Relationship Id="rId11" Type="http://schemas.openxmlformats.org/officeDocument/2006/relationships/hyperlink" Target="#'ABASTECIMENTO POSTOS'!A1"/><Relationship Id="rId5" Type="http://schemas.openxmlformats.org/officeDocument/2006/relationships/hyperlink" Target="#CESTAS!A1"/><Relationship Id="rId10" Type="http://schemas.openxmlformats.org/officeDocument/2006/relationships/hyperlink" Target="#'ESTOQUE PRINCIPAL CESTAS'!A1"/><Relationship Id="rId4" Type="http://schemas.openxmlformats.org/officeDocument/2006/relationships/hyperlink" Target="#ESTOQUE!A1"/><Relationship Id="rId9" Type="http://schemas.openxmlformats.org/officeDocument/2006/relationships/hyperlink" Target="#'SEPARA&#199;&#195;O DE CESTA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MONTAGEM CESTA'!A1"/><Relationship Id="rId3" Type="http://schemas.openxmlformats.org/officeDocument/2006/relationships/hyperlink" Target="#'ENTRADA | SAIDA'!A1"/><Relationship Id="rId7" Type="http://schemas.openxmlformats.org/officeDocument/2006/relationships/hyperlink" Target="#'CESTAS MONTADAS'!A1"/><Relationship Id="rId2" Type="http://schemas.openxmlformats.org/officeDocument/2006/relationships/hyperlink" Target="#CADASTRO!A1"/><Relationship Id="rId1" Type="http://schemas.openxmlformats.org/officeDocument/2006/relationships/image" Target="../media/image4.png"/><Relationship Id="rId6" Type="http://schemas.openxmlformats.org/officeDocument/2006/relationships/hyperlink" Target="#RELATORIOS!A1"/><Relationship Id="rId11" Type="http://schemas.openxmlformats.org/officeDocument/2006/relationships/hyperlink" Target="#'ABASTECIMENTO POSTOS'!A1"/><Relationship Id="rId5" Type="http://schemas.openxmlformats.org/officeDocument/2006/relationships/hyperlink" Target="#CESTAS!A1"/><Relationship Id="rId10" Type="http://schemas.openxmlformats.org/officeDocument/2006/relationships/hyperlink" Target="#'ESTOQUE PRINCIPAL CESTAS'!A1"/><Relationship Id="rId4" Type="http://schemas.openxmlformats.org/officeDocument/2006/relationships/hyperlink" Target="#ESTOQUE!A1"/><Relationship Id="rId9" Type="http://schemas.openxmlformats.org/officeDocument/2006/relationships/hyperlink" Target="#'SEPARA&#199;&#195;O DE CESTAS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PARA&#199;&#195;O DE CESTAS'!A1"/><Relationship Id="rId3" Type="http://schemas.openxmlformats.org/officeDocument/2006/relationships/hyperlink" Target="#'ENTRADA | SAIDA'!A1"/><Relationship Id="rId7" Type="http://schemas.openxmlformats.org/officeDocument/2006/relationships/hyperlink" Target="#'MONTAGEM CESTA'!A1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hyperlink" Target="#RELATORIOS!A1"/><Relationship Id="rId5" Type="http://schemas.openxmlformats.org/officeDocument/2006/relationships/hyperlink" Target="#CESTAS!A1"/><Relationship Id="rId10" Type="http://schemas.openxmlformats.org/officeDocument/2006/relationships/hyperlink" Target="#'ABASTECIMENTO POSTOS'!A1"/><Relationship Id="rId4" Type="http://schemas.openxmlformats.org/officeDocument/2006/relationships/hyperlink" Target="#ESTOQUE!A1"/><Relationship Id="rId9" Type="http://schemas.openxmlformats.org/officeDocument/2006/relationships/hyperlink" Target="#'ESTOQUE PRINCIPAL CESTA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CESTAS'!A1"/><Relationship Id="rId3" Type="http://schemas.openxmlformats.org/officeDocument/2006/relationships/hyperlink" Target="#ESTOQUE!A1"/><Relationship Id="rId7" Type="http://schemas.openxmlformats.org/officeDocument/2006/relationships/image" Target="../media/image1.png"/><Relationship Id="rId2" Type="http://schemas.openxmlformats.org/officeDocument/2006/relationships/hyperlink" Target="#'ENTRADA | SAIDA'!A1"/><Relationship Id="rId1" Type="http://schemas.openxmlformats.org/officeDocument/2006/relationships/hyperlink" Target="#CADASTRO!A1"/><Relationship Id="rId6" Type="http://schemas.openxmlformats.org/officeDocument/2006/relationships/hyperlink" Target="#'DASHBOARD GERAL'!A1"/><Relationship Id="rId5" Type="http://schemas.openxmlformats.org/officeDocument/2006/relationships/hyperlink" Target="#CESTAS!A1"/><Relationship Id="rId4" Type="http://schemas.openxmlformats.org/officeDocument/2006/relationships/hyperlink" Target="#RELATORIO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CESTAS'!A1"/><Relationship Id="rId3" Type="http://schemas.openxmlformats.org/officeDocument/2006/relationships/hyperlink" Target="#'ENTRADA | SAIDA'!A1"/><Relationship Id="rId7" Type="http://schemas.openxmlformats.org/officeDocument/2006/relationships/hyperlink" Target="#'DASHBOARD GERAL'!A1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hyperlink" Target="#CESTAS!A1"/><Relationship Id="rId5" Type="http://schemas.openxmlformats.org/officeDocument/2006/relationships/hyperlink" Target="#RELATORIOS!A1"/><Relationship Id="rId4" Type="http://schemas.openxmlformats.org/officeDocument/2006/relationships/hyperlink" Target="#ESTOQU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CESTAS'!A1"/><Relationship Id="rId3" Type="http://schemas.openxmlformats.org/officeDocument/2006/relationships/hyperlink" Target="#'ENTRADA | SAIDA'!A1"/><Relationship Id="rId7" Type="http://schemas.openxmlformats.org/officeDocument/2006/relationships/hyperlink" Target="#'DASHBOARD GERAL'!A1"/><Relationship Id="rId2" Type="http://schemas.openxmlformats.org/officeDocument/2006/relationships/hyperlink" Target="#CADASTRO!A1"/><Relationship Id="rId1" Type="http://schemas.openxmlformats.org/officeDocument/2006/relationships/image" Target="../media/image1.png"/><Relationship Id="rId6" Type="http://schemas.openxmlformats.org/officeDocument/2006/relationships/hyperlink" Target="#CESTAS!A1"/><Relationship Id="rId5" Type="http://schemas.openxmlformats.org/officeDocument/2006/relationships/hyperlink" Target="#RELATORIOS!A1"/><Relationship Id="rId4" Type="http://schemas.openxmlformats.org/officeDocument/2006/relationships/hyperlink" Target="#ESTOQU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MONTAGEM CESTA'!A1"/><Relationship Id="rId3" Type="http://schemas.openxmlformats.org/officeDocument/2006/relationships/hyperlink" Target="#'ENTRADA | SAIDA'!A1"/><Relationship Id="rId7" Type="http://schemas.openxmlformats.org/officeDocument/2006/relationships/hyperlink" Target="#'CESTAS MONTADAS'!A1"/><Relationship Id="rId2" Type="http://schemas.openxmlformats.org/officeDocument/2006/relationships/hyperlink" Target="#CADASTRO!A1"/><Relationship Id="rId1" Type="http://schemas.openxmlformats.org/officeDocument/2006/relationships/image" Target="../media/image4.png"/><Relationship Id="rId6" Type="http://schemas.openxmlformats.org/officeDocument/2006/relationships/hyperlink" Target="#RELATORIOS!A1"/><Relationship Id="rId11" Type="http://schemas.openxmlformats.org/officeDocument/2006/relationships/hyperlink" Target="#'ABASTECIMENTO POSTOS'!A1"/><Relationship Id="rId5" Type="http://schemas.openxmlformats.org/officeDocument/2006/relationships/hyperlink" Target="#CESTAS!A1"/><Relationship Id="rId10" Type="http://schemas.openxmlformats.org/officeDocument/2006/relationships/hyperlink" Target="#'ESTOQUE PRINCIPAL CESTAS'!A1"/><Relationship Id="rId4" Type="http://schemas.openxmlformats.org/officeDocument/2006/relationships/hyperlink" Target="#ESTOQUE!A1"/><Relationship Id="rId9" Type="http://schemas.openxmlformats.org/officeDocument/2006/relationships/hyperlink" Target="#'SEPARA&#199;&#195;O DE CESTA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MONTAGEM CESTA'!A1"/><Relationship Id="rId3" Type="http://schemas.openxmlformats.org/officeDocument/2006/relationships/hyperlink" Target="#'ENTRADA | SAIDA'!A1"/><Relationship Id="rId7" Type="http://schemas.openxmlformats.org/officeDocument/2006/relationships/hyperlink" Target="#'CESTAS MONTADAS'!A1"/><Relationship Id="rId2" Type="http://schemas.openxmlformats.org/officeDocument/2006/relationships/hyperlink" Target="#CADASTRO!A1"/><Relationship Id="rId1" Type="http://schemas.openxmlformats.org/officeDocument/2006/relationships/image" Target="../media/image4.png"/><Relationship Id="rId6" Type="http://schemas.openxmlformats.org/officeDocument/2006/relationships/hyperlink" Target="#RELATORIOS!A1"/><Relationship Id="rId11" Type="http://schemas.openxmlformats.org/officeDocument/2006/relationships/hyperlink" Target="#'ABASTECIMENTO POSTOS'!A1"/><Relationship Id="rId5" Type="http://schemas.openxmlformats.org/officeDocument/2006/relationships/hyperlink" Target="#CESTAS!A1"/><Relationship Id="rId10" Type="http://schemas.openxmlformats.org/officeDocument/2006/relationships/hyperlink" Target="#'ESTOQUE PRINCIPAL CESTAS'!A1"/><Relationship Id="rId4" Type="http://schemas.openxmlformats.org/officeDocument/2006/relationships/hyperlink" Target="#ESTOQUE!A1"/><Relationship Id="rId9" Type="http://schemas.openxmlformats.org/officeDocument/2006/relationships/hyperlink" Target="#'SEPARA&#199;&#195;O DE CESTA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ESTAS MONTADAS'!Tela_Zoom"/><Relationship Id="rId3" Type="http://schemas.openxmlformats.org/officeDocument/2006/relationships/hyperlink" Target="#CADASTRO!A1"/><Relationship Id="rId7" Type="http://schemas.openxmlformats.org/officeDocument/2006/relationships/hyperlink" Target="#RELATORIOS!A1"/><Relationship Id="rId12" Type="http://schemas.openxmlformats.org/officeDocument/2006/relationships/hyperlink" Target="#'ABASTECIMENTO POSTOS'!A1"/><Relationship Id="rId2" Type="http://schemas.openxmlformats.org/officeDocument/2006/relationships/image" Target="../media/image1.png"/><Relationship Id="rId1" Type="http://schemas.openxmlformats.org/officeDocument/2006/relationships/hyperlink" Target="#'DISTRIBUI&#199;&#195;O DE CESTAS'!A1"/><Relationship Id="rId6" Type="http://schemas.openxmlformats.org/officeDocument/2006/relationships/hyperlink" Target="#CESTAS!A1"/><Relationship Id="rId11" Type="http://schemas.openxmlformats.org/officeDocument/2006/relationships/hyperlink" Target="#'ESTOQUE PRINCIPAL CESTAS'!A1"/><Relationship Id="rId5" Type="http://schemas.openxmlformats.org/officeDocument/2006/relationships/hyperlink" Target="#ESTOQUE!A1"/><Relationship Id="rId10" Type="http://schemas.openxmlformats.org/officeDocument/2006/relationships/hyperlink" Target="#'SEPARA&#199;&#195;O DE CESTAS'!A1"/><Relationship Id="rId4" Type="http://schemas.openxmlformats.org/officeDocument/2006/relationships/hyperlink" Target="#'ENTRADA | SAIDA'!A1"/><Relationship Id="rId9" Type="http://schemas.openxmlformats.org/officeDocument/2006/relationships/hyperlink" Target="#'MONTAGEM CESTA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49713</xdr:colOff>
      <xdr:row>0</xdr:row>
      <xdr:rowOff>58099</xdr:rowOff>
    </xdr:from>
    <xdr:to>
      <xdr:col>1</xdr:col>
      <xdr:colOff>664572</xdr:colOff>
      <xdr:row>1</xdr:row>
      <xdr:rowOff>138843</xdr:rowOff>
    </xdr:to>
    <xdr:pic macro="[0]!SALVAR_DADOS"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13" y="58099"/>
          <a:ext cx="614859" cy="280769"/>
        </a:xfrm>
        <a:prstGeom prst="rect">
          <a:avLst/>
        </a:prstGeom>
      </xdr:spPr>
    </xdr:pic>
    <xdr:clientData/>
  </xdr:twoCellAnchor>
  <xdr:twoCellAnchor>
    <xdr:from>
      <xdr:col>2</xdr:col>
      <xdr:colOff>11586</xdr:colOff>
      <xdr:row>0</xdr:row>
      <xdr:rowOff>89182</xdr:rowOff>
    </xdr:from>
    <xdr:to>
      <xdr:col>3</xdr:col>
      <xdr:colOff>540841</xdr:colOff>
      <xdr:row>2</xdr:row>
      <xdr:rowOff>113489</xdr:rowOff>
    </xdr:to>
    <xdr:sp macro="" textlink="">
      <xdr:nvSpPr>
        <xdr:cNvPr id="3" name="Arredondar Retângulo no Mesmo Canto Lateral 2"/>
        <xdr:cNvSpPr/>
      </xdr:nvSpPr>
      <xdr:spPr>
        <a:xfrm>
          <a:off x="1000487" y="89182"/>
          <a:ext cx="1135943" cy="412587"/>
        </a:xfrm>
        <a:prstGeom prst="round2SameRect">
          <a:avLst/>
        </a:prstGeom>
        <a:solidFill>
          <a:schemeClr val="bg1">
            <a:lumMod val="65000"/>
          </a:schemeClr>
        </a:solidFill>
        <a:ln>
          <a:solidFill>
            <a:srgbClr val="F8C8F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86047</xdr:colOff>
      <xdr:row>0</xdr:row>
      <xdr:rowOff>183173</xdr:rowOff>
    </xdr:from>
    <xdr:to>
      <xdr:col>3</xdr:col>
      <xdr:colOff>429187</xdr:colOff>
      <xdr:row>2</xdr:row>
      <xdr:rowOff>27074</xdr:rowOff>
    </xdr:to>
    <xdr:sp macro="" textlink="">
      <xdr:nvSpPr>
        <xdr:cNvPr id="24" name="CaixaDeTexto 23">
          <a:hlinkClick xmlns:r="http://schemas.openxmlformats.org/officeDocument/2006/relationships" r:id="rId2"/>
        </xdr:cNvPr>
        <xdr:cNvSpPr txBox="1"/>
      </xdr:nvSpPr>
      <xdr:spPr>
        <a:xfrm>
          <a:off x="1075182" y="183173"/>
          <a:ext cx="951274" cy="232228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Cadastro</a:t>
          </a:r>
        </a:p>
      </xdr:txBody>
    </xdr:sp>
    <xdr:clientData/>
  </xdr:twoCellAnchor>
  <xdr:twoCellAnchor>
    <xdr:from>
      <xdr:col>4</xdr:col>
      <xdr:colOff>593924</xdr:colOff>
      <xdr:row>0</xdr:row>
      <xdr:rowOff>92869</xdr:rowOff>
    </xdr:from>
    <xdr:to>
      <xdr:col>6</xdr:col>
      <xdr:colOff>68449</xdr:colOff>
      <xdr:row>2</xdr:row>
      <xdr:rowOff>117176</xdr:rowOff>
    </xdr:to>
    <xdr:grpSp>
      <xdr:nvGrpSpPr>
        <xdr:cNvPr id="47" name="Agrupar 46"/>
        <xdr:cNvGrpSpPr/>
      </xdr:nvGrpSpPr>
      <xdr:grpSpPr>
        <a:xfrm>
          <a:off x="3294054" y="92869"/>
          <a:ext cx="1197308" cy="413590"/>
          <a:chOff x="3299757" y="92869"/>
          <a:chExt cx="1189025" cy="412634"/>
        </a:xfrm>
      </xdr:grpSpPr>
      <xdr:sp macro="" textlink="">
        <xdr:nvSpPr>
          <xdr:cNvPr id="22" name="Arredondar Retângulo no Mesmo Canto Lateral 21"/>
          <xdr:cNvSpPr/>
        </xdr:nvSpPr>
        <xdr:spPr>
          <a:xfrm>
            <a:off x="3299757" y="92869"/>
            <a:ext cx="1189025" cy="412634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hlinkClick xmlns:r="http://schemas.openxmlformats.org/officeDocument/2006/relationships" r:id="rId3"/>
          </xdr:cNvPr>
          <xdr:cNvSpPr txBox="1"/>
        </xdr:nvSpPr>
        <xdr:spPr>
          <a:xfrm>
            <a:off x="3404483" y="186560"/>
            <a:ext cx="982677" cy="2306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7</xdr:col>
      <xdr:colOff>608849</xdr:colOff>
      <xdr:row>0</xdr:row>
      <xdr:rowOff>88663</xdr:rowOff>
    </xdr:from>
    <xdr:to>
      <xdr:col>9</xdr:col>
      <xdr:colOff>285401</xdr:colOff>
      <xdr:row>2</xdr:row>
      <xdr:rowOff>112970</xdr:rowOff>
    </xdr:to>
    <xdr:sp macro="" textlink="">
      <xdr:nvSpPr>
        <xdr:cNvPr id="30" name="Arredondar Retângulo no Mesmo Canto Lateral 29">
          <a:hlinkClick xmlns:r="http://schemas.openxmlformats.org/officeDocument/2006/relationships" r:id="rId4"/>
        </xdr:cNvPr>
        <xdr:cNvSpPr/>
      </xdr:nvSpPr>
      <xdr:spPr>
        <a:xfrm>
          <a:off x="5637046" y="88663"/>
          <a:ext cx="1135381" cy="415333"/>
        </a:xfrm>
        <a:prstGeom prst="round2SameRect">
          <a:avLst/>
        </a:prstGeom>
        <a:solidFill>
          <a:srgbClr val="F8C8F1"/>
        </a:solidFill>
        <a:ln>
          <a:solidFill>
            <a:srgbClr val="F8C8F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629228</xdr:colOff>
      <xdr:row>0</xdr:row>
      <xdr:rowOff>190562</xdr:rowOff>
    </xdr:from>
    <xdr:to>
      <xdr:col>9</xdr:col>
      <xdr:colOff>262429</xdr:colOff>
      <xdr:row>2</xdr:row>
      <xdr:rowOff>32907</xdr:rowOff>
    </xdr:to>
    <xdr:sp macro="" textlink="">
      <xdr:nvSpPr>
        <xdr:cNvPr id="32" name="CaixaDeTexto 31">
          <a:hlinkClick xmlns:r="http://schemas.openxmlformats.org/officeDocument/2006/relationships" r:id="rId4"/>
        </xdr:cNvPr>
        <xdr:cNvSpPr txBox="1"/>
      </xdr:nvSpPr>
      <xdr:spPr>
        <a:xfrm>
          <a:off x="5657425" y="190562"/>
          <a:ext cx="1092030" cy="233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 baseline="0"/>
            <a:t>Relatórios</a:t>
          </a:r>
        </a:p>
      </xdr:txBody>
    </xdr:sp>
    <xdr:clientData/>
  </xdr:twoCellAnchor>
  <xdr:twoCellAnchor editAs="oneCell">
    <xdr:from>
      <xdr:col>0</xdr:col>
      <xdr:colOff>72259</xdr:colOff>
      <xdr:row>13</xdr:row>
      <xdr:rowOff>105103</xdr:rowOff>
    </xdr:from>
    <xdr:to>
      <xdr:col>2</xdr:col>
      <xdr:colOff>7558</xdr:colOff>
      <xdr:row>17</xdr:row>
      <xdr:rowOff>39923</xdr:rowOff>
    </xdr:to>
    <xdr:pic>
      <xdr:nvPicPr>
        <xdr:cNvPr id="33" name="Imagem 32" descr="Programa para Cadastro de Produtos Grátis! » NEX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2259" y="2082362"/>
          <a:ext cx="927213" cy="696820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35" name="CaixaDeTexto 34">
          <a:hlinkClick xmlns:r="http://schemas.openxmlformats.org/officeDocument/2006/relationships" r:id="rId2"/>
        </xdr:cNvPr>
        <xdr:cNvSpPr txBox="1"/>
      </xdr:nvSpPr>
      <xdr:spPr>
        <a:xfrm>
          <a:off x="1" y="517072"/>
          <a:ext cx="3343226" cy="355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Cadastro de Entrada</a:t>
          </a:r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 e Saida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7</xdr:col>
      <xdr:colOff>184545</xdr:colOff>
      <xdr:row>15</xdr:row>
      <xdr:rowOff>59530</xdr:rowOff>
    </xdr:from>
    <xdr:to>
      <xdr:col>8</xdr:col>
      <xdr:colOff>261936</xdr:colOff>
      <xdr:row>16</xdr:row>
      <xdr:rowOff>190498</xdr:rowOff>
    </xdr:to>
    <xdr:sp macro="[0]!CADASTRO_ENTRADA_SAIDA" textlink="">
      <xdr:nvSpPr>
        <xdr:cNvPr id="43" name="Retângulo Arredondado 42"/>
        <xdr:cNvSpPr/>
      </xdr:nvSpPr>
      <xdr:spPr>
        <a:xfrm>
          <a:off x="5137545" y="2809874"/>
          <a:ext cx="922735" cy="321468"/>
        </a:xfrm>
        <a:prstGeom prst="roundRect">
          <a:avLst/>
        </a:prstGeom>
        <a:gradFill flip="none" rotWithShape="1">
          <a:gsLst>
            <a:gs pos="0">
              <a:srgbClr val="FF6699">
                <a:shade val="30000"/>
                <a:satMod val="115000"/>
              </a:srgbClr>
            </a:gs>
            <a:gs pos="50000">
              <a:srgbClr val="FF6699">
                <a:shade val="67500"/>
                <a:satMod val="115000"/>
              </a:srgbClr>
            </a:gs>
            <a:gs pos="100000">
              <a:srgbClr val="FF6699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 </a:t>
          </a:r>
        </a:p>
      </xdr:txBody>
    </xdr:sp>
    <xdr:clientData/>
  </xdr:twoCellAnchor>
  <xdr:twoCellAnchor>
    <xdr:from>
      <xdr:col>3</xdr:col>
      <xdr:colOff>534866</xdr:colOff>
      <xdr:row>0</xdr:row>
      <xdr:rowOff>95250</xdr:rowOff>
    </xdr:from>
    <xdr:to>
      <xdr:col>4</xdr:col>
      <xdr:colOff>584756</xdr:colOff>
      <xdr:row>2</xdr:row>
      <xdr:rowOff>116601</xdr:rowOff>
    </xdr:to>
    <xdr:grpSp>
      <xdr:nvGrpSpPr>
        <xdr:cNvPr id="2" name="Agrupar 1"/>
        <xdr:cNvGrpSpPr/>
      </xdr:nvGrpSpPr>
      <xdr:grpSpPr>
        <a:xfrm>
          <a:off x="2141692" y="95250"/>
          <a:ext cx="1143194" cy="410634"/>
          <a:chOff x="2132135" y="95250"/>
          <a:chExt cx="1148929" cy="409678"/>
        </a:xfrm>
      </xdr:grpSpPr>
      <xdr:sp macro="" textlink="">
        <xdr:nvSpPr>
          <xdr:cNvPr id="45" name="Arredondar Retângulo no Mesmo Canto Lateral 44"/>
          <xdr:cNvSpPr/>
        </xdr:nvSpPr>
        <xdr:spPr>
          <a:xfrm>
            <a:off x="2139508" y="95250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CaixaDeTexto 45">
            <a:hlinkClick xmlns:r="http://schemas.openxmlformats.org/officeDocument/2006/relationships" r:id="rId6"/>
          </xdr:cNvPr>
          <xdr:cNvSpPr txBox="1"/>
        </xdr:nvSpPr>
        <xdr:spPr>
          <a:xfrm>
            <a:off x="2132135" y="187134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6</xdr:col>
      <xdr:colOff>72718</xdr:colOff>
      <xdr:row>0</xdr:row>
      <xdr:rowOff>91285</xdr:rowOff>
    </xdr:from>
    <xdr:to>
      <xdr:col>7</xdr:col>
      <xdr:colOff>597526</xdr:colOff>
      <xdr:row>2</xdr:row>
      <xdr:rowOff>115592</xdr:rowOff>
    </xdr:to>
    <xdr:grpSp>
      <xdr:nvGrpSpPr>
        <xdr:cNvPr id="4" name="Agrupar 3"/>
        <xdr:cNvGrpSpPr/>
      </xdr:nvGrpSpPr>
      <xdr:grpSpPr>
        <a:xfrm>
          <a:off x="4495631" y="91285"/>
          <a:ext cx="1137721" cy="413590"/>
          <a:chOff x="4482793" y="91285"/>
          <a:chExt cx="1134408" cy="414832"/>
        </a:xfrm>
      </xdr:grpSpPr>
      <xdr:sp macro="" textlink="">
        <xdr:nvSpPr>
          <xdr:cNvPr id="23" name="Arredondar Retângulo no Mesmo Canto Lateral 22"/>
          <xdr:cNvSpPr/>
        </xdr:nvSpPr>
        <xdr:spPr>
          <a:xfrm>
            <a:off x="4482793" y="91285"/>
            <a:ext cx="1134408" cy="414832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hlinkClick xmlns:r="http://schemas.openxmlformats.org/officeDocument/2006/relationships" r:id="rId7"/>
          </xdr:cNvPr>
          <xdr:cNvSpPr txBox="1"/>
        </xdr:nvSpPr>
        <xdr:spPr>
          <a:xfrm>
            <a:off x="4504900" y="190562"/>
            <a:ext cx="1090526" cy="232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0</xdr:col>
      <xdr:colOff>65484</xdr:colOff>
      <xdr:row>0</xdr:row>
      <xdr:rowOff>71438</xdr:rowOff>
    </xdr:from>
    <xdr:to>
      <xdr:col>0</xdr:col>
      <xdr:colOff>154781</xdr:colOff>
      <xdr:row>0</xdr:row>
      <xdr:rowOff>160735</xdr:rowOff>
    </xdr:to>
    <xdr:sp macro="[0]!LigarTelaCheia" textlink="">
      <xdr:nvSpPr>
        <xdr:cNvPr id="5" name="Retângulo 4"/>
        <xdr:cNvSpPr/>
      </xdr:nvSpPr>
      <xdr:spPr>
        <a:xfrm>
          <a:off x="65484" y="71438"/>
          <a:ext cx="89297" cy="89297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66504</xdr:colOff>
      <xdr:row>1</xdr:row>
      <xdr:rowOff>54599</xdr:rowOff>
    </xdr:from>
    <xdr:to>
      <xdr:col>0</xdr:col>
      <xdr:colOff>155801</xdr:colOff>
      <xdr:row>1</xdr:row>
      <xdr:rowOff>100318</xdr:rowOff>
    </xdr:to>
    <xdr:sp macro="[0]!DesligarTelaCheia" textlink="">
      <xdr:nvSpPr>
        <xdr:cNvPr id="20" name="Retângulo 19"/>
        <xdr:cNvSpPr/>
      </xdr:nvSpPr>
      <xdr:spPr>
        <a:xfrm>
          <a:off x="66504" y="255304"/>
          <a:ext cx="89297" cy="45719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181955</xdr:colOff>
      <xdr:row>0</xdr:row>
      <xdr:rowOff>59823</xdr:rowOff>
    </xdr:from>
    <xdr:to>
      <xdr:col>2</xdr:col>
      <xdr:colOff>43025</xdr:colOff>
      <xdr:row>1</xdr:row>
      <xdr:rowOff>137611</xdr:rowOff>
    </xdr:to>
    <xdr:pic macro="[0]!SALVAR_DADOS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55" y="59823"/>
          <a:ext cx="613545" cy="277813"/>
        </a:xfrm>
        <a:prstGeom prst="rect">
          <a:avLst/>
        </a:prstGeom>
      </xdr:spPr>
    </xdr:pic>
    <xdr:clientData/>
  </xdr:twoCellAnchor>
  <xdr:twoCellAnchor>
    <xdr:from>
      <xdr:col>2</xdr:col>
      <xdr:colOff>199787</xdr:colOff>
      <xdr:row>0</xdr:row>
      <xdr:rowOff>85067</xdr:rowOff>
    </xdr:from>
    <xdr:to>
      <xdr:col>2</xdr:col>
      <xdr:colOff>1337328</xdr:colOff>
      <xdr:row>2</xdr:row>
      <xdr:rowOff>106418</xdr:rowOff>
    </xdr:to>
    <xdr:grpSp>
      <xdr:nvGrpSpPr>
        <xdr:cNvPr id="6" name="Agrupar 5"/>
        <xdr:cNvGrpSpPr/>
      </xdr:nvGrpSpPr>
      <xdr:grpSpPr>
        <a:xfrm>
          <a:off x="950581" y="85067"/>
          <a:ext cx="1137541" cy="413557"/>
          <a:chOff x="1002186" y="95249"/>
          <a:chExt cx="1138855" cy="416193"/>
        </a:xfrm>
      </xdr:grpSpPr>
      <xdr:sp macro="" textlink="">
        <xdr:nvSpPr>
          <xdr:cNvPr id="7" name="Arredondar Retângulo no Mesmo Canto Lateral 6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hlinkClick xmlns:r="http://schemas.openxmlformats.org/officeDocument/2006/relationships" r:id="rId3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2</xdr:col>
      <xdr:colOff>1334247</xdr:colOff>
      <xdr:row>0</xdr:row>
      <xdr:rowOff>82686</xdr:rowOff>
    </xdr:from>
    <xdr:to>
      <xdr:col>3</xdr:col>
      <xdr:colOff>336387</xdr:colOff>
      <xdr:row>2</xdr:row>
      <xdr:rowOff>104037</xdr:rowOff>
    </xdr:to>
    <xdr:grpSp>
      <xdr:nvGrpSpPr>
        <xdr:cNvPr id="21" name="Agrupar 20"/>
        <xdr:cNvGrpSpPr/>
      </xdr:nvGrpSpPr>
      <xdr:grpSpPr>
        <a:xfrm>
          <a:off x="2085041" y="82686"/>
          <a:ext cx="1142464" cy="413557"/>
          <a:chOff x="1983412" y="82686"/>
          <a:chExt cx="1148929" cy="409678"/>
        </a:xfrm>
      </xdr:grpSpPr>
      <xdr:sp macro="" textlink="">
        <xdr:nvSpPr>
          <xdr:cNvPr id="3" name="Arredondar Retângulo no Mesmo Canto Lateral 2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chemeClr val="bg1">
              <a:lumMod val="65000"/>
            </a:schemeClr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hlinkClick xmlns:r="http://schemas.openxmlformats.org/officeDocument/2006/relationships" r:id="rId1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3</xdr:col>
      <xdr:colOff>341676</xdr:colOff>
      <xdr:row>0</xdr:row>
      <xdr:rowOff>82687</xdr:rowOff>
    </xdr:from>
    <xdr:to>
      <xdr:col>4</xdr:col>
      <xdr:colOff>467842</xdr:colOff>
      <xdr:row>2</xdr:row>
      <xdr:rowOff>104038</xdr:rowOff>
    </xdr:to>
    <xdr:grpSp>
      <xdr:nvGrpSpPr>
        <xdr:cNvPr id="22" name="Agrupar 21"/>
        <xdr:cNvGrpSpPr/>
      </xdr:nvGrpSpPr>
      <xdr:grpSpPr>
        <a:xfrm>
          <a:off x="3232794" y="82687"/>
          <a:ext cx="1190724" cy="413557"/>
          <a:chOff x="3351576" y="82687"/>
          <a:chExt cx="1192966" cy="411876"/>
        </a:xfrm>
      </xdr:grpSpPr>
      <xdr:sp macro="" textlink="">
        <xdr:nvSpPr>
          <xdr:cNvPr id="4" name="Arredondar Retângulo no Mesmo Canto Lateral 3"/>
          <xdr:cNvSpPr/>
        </xdr:nvSpPr>
        <xdr:spPr>
          <a:xfrm>
            <a:off x="3351576" y="82687"/>
            <a:ext cx="1192966" cy="41187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hlinkClick xmlns:r="http://schemas.openxmlformats.org/officeDocument/2006/relationships" r:id="rId4"/>
          </xdr:cNvPr>
          <xdr:cNvSpPr txBox="1"/>
        </xdr:nvSpPr>
        <xdr:spPr>
          <a:xfrm>
            <a:off x="3474973" y="176378"/>
            <a:ext cx="983334" cy="2299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5</xdr:col>
      <xdr:colOff>394113</xdr:colOff>
      <xdr:row>0</xdr:row>
      <xdr:rowOff>83494</xdr:rowOff>
    </xdr:from>
    <xdr:to>
      <xdr:col>6</xdr:col>
      <xdr:colOff>226728</xdr:colOff>
      <xdr:row>2</xdr:row>
      <xdr:rowOff>104845</xdr:rowOff>
    </xdr:to>
    <xdr:grpSp>
      <xdr:nvGrpSpPr>
        <xdr:cNvPr id="18" name="Agrupar 17">
          <a:hlinkClick xmlns:r="http://schemas.openxmlformats.org/officeDocument/2006/relationships" r:id="rId5"/>
        </xdr:cNvPr>
        <xdr:cNvGrpSpPr/>
      </xdr:nvGrpSpPr>
      <xdr:grpSpPr>
        <a:xfrm>
          <a:off x="5593642" y="83494"/>
          <a:ext cx="1132498" cy="413557"/>
          <a:chOff x="5699538" y="83494"/>
          <a:chExt cx="1137540" cy="411876"/>
        </a:xfrm>
      </xdr:grpSpPr>
      <xdr:sp macro="" textlink="">
        <xdr:nvSpPr>
          <xdr:cNvPr id="13" name="Arredondar Retângulo no Mesmo Canto Lateral 12"/>
          <xdr:cNvSpPr/>
        </xdr:nvSpPr>
        <xdr:spPr>
          <a:xfrm>
            <a:off x="5699538" y="83494"/>
            <a:ext cx="1137540" cy="41187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/>
          <xdr:cNvSpPr txBox="1"/>
        </xdr:nvSpPr>
        <xdr:spPr>
          <a:xfrm>
            <a:off x="5719917" y="185393"/>
            <a:ext cx="1094189" cy="2299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17" name="CaixaDeTexto 16">
          <a:hlinkClick xmlns:r="http://schemas.openxmlformats.org/officeDocument/2006/relationships" r:id="rId1"/>
        </xdr:cNvPr>
        <xdr:cNvSpPr txBox="1"/>
      </xdr:nvSpPr>
      <xdr:spPr>
        <a:xfrm>
          <a:off x="1" y="514351"/>
          <a:ext cx="3401737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Controle</a:t>
          </a:r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 Entrada e Saída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4</xdr:col>
      <xdr:colOff>478067</xdr:colOff>
      <xdr:row>0</xdr:row>
      <xdr:rowOff>83494</xdr:rowOff>
    </xdr:from>
    <xdr:to>
      <xdr:col>5</xdr:col>
      <xdr:colOff>381021</xdr:colOff>
      <xdr:row>2</xdr:row>
      <xdr:rowOff>104845</xdr:rowOff>
    </xdr:to>
    <xdr:grpSp>
      <xdr:nvGrpSpPr>
        <xdr:cNvPr id="16" name="Agrupar 15"/>
        <xdr:cNvGrpSpPr/>
      </xdr:nvGrpSpPr>
      <xdr:grpSpPr>
        <a:xfrm>
          <a:off x="4433743" y="83494"/>
          <a:ext cx="1146807" cy="413557"/>
          <a:chOff x="4545242" y="83494"/>
          <a:chExt cx="1141204" cy="411876"/>
        </a:xfrm>
      </xdr:grpSpPr>
      <xdr:sp macro="" textlink="">
        <xdr:nvSpPr>
          <xdr:cNvPr id="20" name="Arredondar Retângulo no Mesmo Canto Lateral 19"/>
          <xdr:cNvSpPr/>
        </xdr:nvSpPr>
        <xdr:spPr>
          <a:xfrm>
            <a:off x="4545242" y="83494"/>
            <a:ext cx="1141204" cy="41187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hlinkClick xmlns:r="http://schemas.openxmlformats.org/officeDocument/2006/relationships" r:id="rId6"/>
          </xdr:cNvPr>
          <xdr:cNvSpPr txBox="1"/>
        </xdr:nvSpPr>
        <xdr:spPr>
          <a:xfrm>
            <a:off x="4565621" y="185393"/>
            <a:ext cx="1098514" cy="2299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181955</xdr:colOff>
      <xdr:row>0</xdr:row>
      <xdr:rowOff>59823</xdr:rowOff>
    </xdr:from>
    <xdr:to>
      <xdr:col>1</xdr:col>
      <xdr:colOff>605454</xdr:colOff>
      <xdr:row>1</xdr:row>
      <xdr:rowOff>137611</xdr:rowOff>
    </xdr:to>
    <xdr:pic macro="[0]!SALVAR_DADOS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55" y="59823"/>
          <a:ext cx="613545" cy="277813"/>
        </a:xfrm>
        <a:prstGeom prst="rect">
          <a:avLst/>
        </a:prstGeom>
      </xdr:spPr>
    </xdr:pic>
    <xdr:clientData/>
  </xdr:twoCellAnchor>
  <xdr:twoCellAnchor>
    <xdr:from>
      <xdr:col>1</xdr:col>
      <xdr:colOff>736046</xdr:colOff>
      <xdr:row>0</xdr:row>
      <xdr:rowOff>83099</xdr:rowOff>
    </xdr:from>
    <xdr:to>
      <xdr:col>1</xdr:col>
      <xdr:colOff>1883843</xdr:colOff>
      <xdr:row>2</xdr:row>
      <xdr:rowOff>105238</xdr:rowOff>
    </xdr:to>
    <xdr:grpSp>
      <xdr:nvGrpSpPr>
        <xdr:cNvPr id="5" name="Agrupar 4"/>
        <xdr:cNvGrpSpPr/>
      </xdr:nvGrpSpPr>
      <xdr:grpSpPr>
        <a:xfrm>
          <a:off x="926546" y="83099"/>
          <a:ext cx="1147797" cy="412664"/>
          <a:chOff x="1002186" y="95249"/>
          <a:chExt cx="1138855" cy="416193"/>
        </a:xfrm>
      </xdr:grpSpPr>
      <xdr:sp macro="" textlink="">
        <xdr:nvSpPr>
          <xdr:cNvPr id="6" name="Arredondar Retângulo no Mesmo Canto Lateral 5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3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1</xdr:col>
      <xdr:colOff>1880762</xdr:colOff>
      <xdr:row>0</xdr:row>
      <xdr:rowOff>80718</xdr:rowOff>
    </xdr:from>
    <xdr:to>
      <xdr:col>3</xdr:col>
      <xdr:colOff>557513</xdr:colOff>
      <xdr:row>2</xdr:row>
      <xdr:rowOff>102857</xdr:rowOff>
    </xdr:to>
    <xdr:grpSp>
      <xdr:nvGrpSpPr>
        <xdr:cNvPr id="8" name="Agrupar 7"/>
        <xdr:cNvGrpSpPr/>
      </xdr:nvGrpSpPr>
      <xdr:grpSpPr>
        <a:xfrm>
          <a:off x="2071262" y="80718"/>
          <a:ext cx="1153251" cy="412664"/>
          <a:chOff x="1983412" y="82686"/>
          <a:chExt cx="1148929" cy="409678"/>
        </a:xfrm>
      </xdr:grpSpPr>
      <xdr:sp macro="" textlink="">
        <xdr:nvSpPr>
          <xdr:cNvPr id="9" name="Arredondar Retângulo no Mesmo Canto Lateral 8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hlinkClick xmlns:r="http://schemas.openxmlformats.org/officeDocument/2006/relationships" r:id="rId4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3</xdr:col>
      <xdr:colOff>572327</xdr:colOff>
      <xdr:row>0</xdr:row>
      <xdr:rowOff>80719</xdr:rowOff>
    </xdr:from>
    <xdr:to>
      <xdr:col>5</xdr:col>
      <xdr:colOff>122654</xdr:colOff>
      <xdr:row>2</xdr:row>
      <xdr:rowOff>102858</xdr:rowOff>
    </xdr:to>
    <xdr:grpSp>
      <xdr:nvGrpSpPr>
        <xdr:cNvPr id="18" name="Agrupar 17"/>
        <xdr:cNvGrpSpPr/>
      </xdr:nvGrpSpPr>
      <xdr:grpSpPr>
        <a:xfrm>
          <a:off x="3239327" y="80719"/>
          <a:ext cx="1207677" cy="412664"/>
          <a:chOff x="3239327" y="80719"/>
          <a:chExt cx="1206849" cy="411422"/>
        </a:xfrm>
      </xdr:grpSpPr>
      <xdr:sp macro="" textlink="">
        <xdr:nvSpPr>
          <xdr:cNvPr id="3" name="Arredondar Retângulo no Mesmo Canto Lateral 2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solidFill>
            <a:schemeClr val="bg1">
              <a:lumMod val="65000"/>
            </a:schemeClr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hlinkClick xmlns:r="http://schemas.openxmlformats.org/officeDocument/2006/relationships" r:id="rId1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5</xdr:col>
      <xdr:colOff>135076</xdr:colOff>
      <xdr:row>0</xdr:row>
      <xdr:rowOff>84964</xdr:rowOff>
    </xdr:from>
    <xdr:to>
      <xdr:col>6</xdr:col>
      <xdr:colOff>452937</xdr:colOff>
      <xdr:row>2</xdr:row>
      <xdr:rowOff>107103</xdr:rowOff>
    </xdr:to>
    <xdr:grpSp>
      <xdr:nvGrpSpPr>
        <xdr:cNvPr id="20" name="Agrupar 19"/>
        <xdr:cNvGrpSpPr/>
      </xdr:nvGrpSpPr>
      <xdr:grpSpPr>
        <a:xfrm>
          <a:off x="4459426" y="84964"/>
          <a:ext cx="1146536" cy="412664"/>
          <a:chOff x="4459426" y="84964"/>
          <a:chExt cx="1146536" cy="412664"/>
        </a:xfrm>
      </xdr:grpSpPr>
      <xdr:sp macro="" textlink="">
        <xdr:nvSpPr>
          <xdr:cNvPr id="13" name="Arredondar Retângulo no Mesmo Canto Lateral 12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hlinkClick xmlns:r="http://schemas.openxmlformats.org/officeDocument/2006/relationships" r:id="rId5"/>
          </xdr:cNvPr>
          <xdr:cNvSpPr txBox="1"/>
        </xdr:nvSpPr>
        <xdr:spPr>
          <a:xfrm>
            <a:off x="448514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6</xdr:col>
      <xdr:colOff>460975</xdr:colOff>
      <xdr:row>0</xdr:row>
      <xdr:rowOff>81526</xdr:rowOff>
    </xdr:from>
    <xdr:to>
      <xdr:col>8</xdr:col>
      <xdr:colOff>41543</xdr:colOff>
      <xdr:row>2</xdr:row>
      <xdr:rowOff>103665</xdr:rowOff>
    </xdr:to>
    <xdr:grpSp>
      <xdr:nvGrpSpPr>
        <xdr:cNvPr id="21" name="Agrupar 20"/>
        <xdr:cNvGrpSpPr/>
      </xdr:nvGrpSpPr>
      <xdr:grpSpPr>
        <a:xfrm>
          <a:off x="5614000" y="81526"/>
          <a:ext cx="1142668" cy="412664"/>
          <a:chOff x="5614000" y="81526"/>
          <a:chExt cx="1142668" cy="412664"/>
        </a:xfrm>
      </xdr:grpSpPr>
      <xdr:sp macro="" textlink="">
        <xdr:nvSpPr>
          <xdr:cNvPr id="14" name="Arredondar Retângulo no Mesmo Canto Lateral 13">
            <a:hlinkClick xmlns:r="http://schemas.openxmlformats.org/officeDocument/2006/relationships" r:id="rId6"/>
          </xdr:cNvPr>
          <xdr:cNvSpPr/>
        </xdr:nvSpPr>
        <xdr:spPr>
          <a:xfrm>
            <a:off x="5614000" y="81526"/>
            <a:ext cx="1142668" cy="412664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6"/>
          </xdr:cNvPr>
          <xdr:cNvSpPr txBox="1"/>
        </xdr:nvSpPr>
        <xdr:spPr>
          <a:xfrm>
            <a:off x="5634379" y="183425"/>
            <a:ext cx="1099317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0</xdr:row>
          <xdr:rowOff>66675</xdr:rowOff>
        </xdr:from>
        <xdr:to>
          <xdr:col>11</xdr:col>
          <xdr:colOff>1209675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304556</xdr:colOff>
      <xdr:row>3</xdr:row>
      <xdr:rowOff>61109</xdr:rowOff>
    </xdr:from>
    <xdr:to>
      <xdr:col>1</xdr:col>
      <xdr:colOff>1028700</xdr:colOff>
      <xdr:row>4</xdr:row>
      <xdr:rowOff>261051</xdr:rowOff>
    </xdr:to>
    <xdr:pic>
      <xdr:nvPicPr>
        <xdr:cNvPr id="22" name="Imagem 2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406" y="562759"/>
          <a:ext cx="724144" cy="3205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181955</xdr:colOff>
      <xdr:row>0</xdr:row>
      <xdr:rowOff>59823</xdr:rowOff>
    </xdr:from>
    <xdr:to>
      <xdr:col>2</xdr:col>
      <xdr:colOff>300654</xdr:colOff>
      <xdr:row>1</xdr:row>
      <xdr:rowOff>147136</xdr:rowOff>
    </xdr:to>
    <xdr:pic macro="[0]!SALVAR_DADOS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55" y="59823"/>
          <a:ext cx="613999" cy="277813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0</xdr:rowOff>
    </xdr:to>
    <xdr:sp macro="" textlink="">
      <xdr:nvSpPr>
        <xdr:cNvPr id="22" name="CaixaDeTexto 21"/>
        <xdr:cNvSpPr txBox="1"/>
      </xdr:nvSpPr>
      <xdr:spPr>
        <a:xfrm>
          <a:off x="1" y="514351"/>
          <a:ext cx="4278037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Tipos de Cestas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2</xdr:col>
      <xdr:colOff>413286</xdr:colOff>
      <xdr:row>0</xdr:row>
      <xdr:rowOff>64690</xdr:rowOff>
    </xdr:from>
    <xdr:to>
      <xdr:col>3</xdr:col>
      <xdr:colOff>749388</xdr:colOff>
      <xdr:row>2</xdr:row>
      <xdr:rowOff>88071</xdr:rowOff>
    </xdr:to>
    <xdr:grpSp>
      <xdr:nvGrpSpPr>
        <xdr:cNvPr id="24" name="Agrupar 23"/>
        <xdr:cNvGrpSpPr/>
      </xdr:nvGrpSpPr>
      <xdr:grpSpPr>
        <a:xfrm>
          <a:off x="906345" y="64690"/>
          <a:ext cx="1142925" cy="415587"/>
          <a:chOff x="1002186" y="95249"/>
          <a:chExt cx="1138855" cy="416193"/>
        </a:xfrm>
      </xdr:grpSpPr>
      <xdr:sp macro="" textlink="">
        <xdr:nvSpPr>
          <xdr:cNvPr id="25" name="Arredondar Retângulo no Mesmo Canto Lateral 24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746307</xdr:colOff>
      <xdr:row>0</xdr:row>
      <xdr:rowOff>62309</xdr:rowOff>
    </xdr:from>
    <xdr:to>
      <xdr:col>4</xdr:col>
      <xdr:colOff>1013319</xdr:colOff>
      <xdr:row>2</xdr:row>
      <xdr:rowOff>85690</xdr:rowOff>
    </xdr:to>
    <xdr:grpSp>
      <xdr:nvGrpSpPr>
        <xdr:cNvPr id="27" name="Agrupar 26"/>
        <xdr:cNvGrpSpPr/>
      </xdr:nvGrpSpPr>
      <xdr:grpSpPr>
        <a:xfrm>
          <a:off x="2046189" y="62309"/>
          <a:ext cx="1152277" cy="415587"/>
          <a:chOff x="1983412" y="82686"/>
          <a:chExt cx="1148929" cy="409678"/>
        </a:xfrm>
      </xdr:grpSpPr>
      <xdr:sp macro="" textlink="">
        <xdr:nvSpPr>
          <xdr:cNvPr id="28" name="Arredondar Retângulo no Mesmo Canto Lateral 27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4</xdr:col>
      <xdr:colOff>1018608</xdr:colOff>
      <xdr:row>0</xdr:row>
      <xdr:rowOff>62310</xdr:rowOff>
    </xdr:from>
    <xdr:to>
      <xdr:col>5</xdr:col>
      <xdr:colOff>892785</xdr:colOff>
      <xdr:row>2</xdr:row>
      <xdr:rowOff>85691</xdr:rowOff>
    </xdr:to>
    <xdr:grpSp>
      <xdr:nvGrpSpPr>
        <xdr:cNvPr id="30" name="Agrupar 29">
          <a:hlinkClick xmlns:r="http://schemas.openxmlformats.org/officeDocument/2006/relationships" r:id="rId4"/>
        </xdr:cNvPr>
        <xdr:cNvGrpSpPr/>
      </xdr:nvGrpSpPr>
      <xdr:grpSpPr>
        <a:xfrm>
          <a:off x="3203755" y="62310"/>
          <a:ext cx="1207677" cy="415587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31" name="Arredondar Retângulo no Mesmo Canto Lateral 30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5</xdr:col>
      <xdr:colOff>905207</xdr:colOff>
      <xdr:row>0</xdr:row>
      <xdr:rowOff>66555</xdr:rowOff>
    </xdr:from>
    <xdr:to>
      <xdr:col>5</xdr:col>
      <xdr:colOff>2051743</xdr:colOff>
      <xdr:row>2</xdr:row>
      <xdr:rowOff>89936</xdr:rowOff>
    </xdr:to>
    <xdr:grpSp>
      <xdr:nvGrpSpPr>
        <xdr:cNvPr id="34" name="Agrupar 33"/>
        <xdr:cNvGrpSpPr/>
      </xdr:nvGrpSpPr>
      <xdr:grpSpPr>
        <a:xfrm>
          <a:off x="4423854" y="66555"/>
          <a:ext cx="1146536" cy="415587"/>
          <a:chOff x="4459426" y="84964"/>
          <a:chExt cx="1146536" cy="412664"/>
        </a:xfrm>
        <a:solidFill>
          <a:schemeClr val="bg1">
            <a:lumMod val="65000"/>
          </a:schemeClr>
        </a:solidFill>
      </xdr:grpSpPr>
      <xdr:sp macro="" textlink="">
        <xdr:nvSpPr>
          <xdr:cNvPr id="35" name="Arredondar Retângulo no Mesmo Canto Lateral 34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hlinkClick xmlns:r="http://schemas.openxmlformats.org/officeDocument/2006/relationships" r:id="rId5"/>
          </xdr:cNvPr>
          <xdr:cNvSpPr txBox="1"/>
        </xdr:nvSpPr>
        <xdr:spPr>
          <a:xfrm>
            <a:off x="4480751" y="183425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5</xdr:col>
      <xdr:colOff>2059781</xdr:colOff>
      <xdr:row>0</xdr:row>
      <xdr:rowOff>63117</xdr:rowOff>
    </xdr:from>
    <xdr:to>
      <xdr:col>7</xdr:col>
      <xdr:colOff>311818</xdr:colOff>
      <xdr:row>2</xdr:row>
      <xdr:rowOff>86498</xdr:rowOff>
    </xdr:to>
    <xdr:grpSp>
      <xdr:nvGrpSpPr>
        <xdr:cNvPr id="51" name="Agrupar 50"/>
        <xdr:cNvGrpSpPr/>
      </xdr:nvGrpSpPr>
      <xdr:grpSpPr>
        <a:xfrm>
          <a:off x="5578428" y="63117"/>
          <a:ext cx="1131949" cy="415587"/>
          <a:chOff x="5584031" y="63117"/>
          <a:chExt cx="1138112" cy="413906"/>
        </a:xfrm>
      </xdr:grpSpPr>
      <xdr:sp macro="" textlink="">
        <xdr:nvSpPr>
          <xdr:cNvPr id="33" name="Arredondar Retângulo no Mesmo Canto Lateral 32">
            <a:hlinkClick xmlns:r="http://schemas.openxmlformats.org/officeDocument/2006/relationships" r:id="rId6"/>
          </xdr:cNvPr>
          <xdr:cNvSpPr/>
        </xdr:nvSpPr>
        <xdr:spPr>
          <a:xfrm>
            <a:off x="5584031" y="63117"/>
            <a:ext cx="1138112" cy="41390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hlinkClick xmlns:r="http://schemas.openxmlformats.org/officeDocument/2006/relationships" r:id="rId6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5</xdr:col>
      <xdr:colOff>2056518</xdr:colOff>
      <xdr:row>2</xdr:row>
      <xdr:rowOff>103505</xdr:rowOff>
    </xdr:from>
    <xdr:to>
      <xdr:col>7</xdr:col>
      <xdr:colOff>321994</xdr:colOff>
      <xdr:row>4</xdr:row>
      <xdr:rowOff>185660</xdr:rowOff>
    </xdr:to>
    <xdr:grpSp>
      <xdr:nvGrpSpPr>
        <xdr:cNvPr id="50" name="Agrupar 49"/>
        <xdr:cNvGrpSpPr/>
      </xdr:nvGrpSpPr>
      <xdr:grpSpPr>
        <a:xfrm>
          <a:off x="5575165" y="495711"/>
          <a:ext cx="1145388" cy="328684"/>
          <a:chOff x="5580768" y="494030"/>
          <a:chExt cx="1151551" cy="329805"/>
        </a:xfrm>
      </xdr:grpSpPr>
      <xdr:sp macro="" textlink="">
        <xdr:nvSpPr>
          <xdr:cNvPr id="48" name="Retângulo 47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CaixaDeTexto 44">
            <a:hlinkClick xmlns:r="http://schemas.openxmlformats.org/officeDocument/2006/relationships" r:id="rId7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 Montadas</a:t>
            </a:r>
          </a:p>
        </xdr:txBody>
      </xdr:sp>
    </xdr:grpSp>
    <xdr:clientData/>
  </xdr:twoCellAnchor>
  <xdr:twoCellAnchor>
    <xdr:from>
      <xdr:col>5</xdr:col>
      <xdr:colOff>898922</xdr:colOff>
      <xdr:row>2</xdr:row>
      <xdr:rowOff>102649</xdr:rowOff>
    </xdr:from>
    <xdr:to>
      <xdr:col>5</xdr:col>
      <xdr:colOff>2047875</xdr:colOff>
      <xdr:row>4</xdr:row>
      <xdr:rowOff>184804</xdr:rowOff>
    </xdr:to>
    <xdr:grpSp>
      <xdr:nvGrpSpPr>
        <xdr:cNvPr id="49" name="Agrupar 48"/>
        <xdr:cNvGrpSpPr/>
      </xdr:nvGrpSpPr>
      <xdr:grpSpPr>
        <a:xfrm>
          <a:off x="4417569" y="494855"/>
          <a:ext cx="1148953" cy="328684"/>
          <a:chOff x="4423172" y="493174"/>
          <a:chExt cx="1148953" cy="329805"/>
        </a:xfrm>
      </xdr:grpSpPr>
      <xdr:sp macro="" textlink="">
        <xdr:nvSpPr>
          <xdr:cNvPr id="46" name="Retângulo 45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CaixaDeTexto 46">
            <a:hlinkClick xmlns:r="http://schemas.openxmlformats.org/officeDocument/2006/relationships" r:id="rId8"/>
          </xdr:cNvPr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7</xdr:col>
      <xdr:colOff>335604</xdr:colOff>
      <xdr:row>2</xdr:row>
      <xdr:rowOff>112058</xdr:rowOff>
    </xdr:from>
    <xdr:to>
      <xdr:col>8</xdr:col>
      <xdr:colOff>645219</xdr:colOff>
      <xdr:row>4</xdr:row>
      <xdr:rowOff>185622</xdr:rowOff>
    </xdr:to>
    <xdr:sp macro="" textlink="">
      <xdr:nvSpPr>
        <xdr:cNvPr id="39" name="Retângulo 38"/>
        <xdr:cNvSpPr/>
      </xdr:nvSpPr>
      <xdr:spPr>
        <a:xfrm>
          <a:off x="7051663" y="493058"/>
          <a:ext cx="1176203" cy="312623"/>
        </a:xfrm>
        <a:prstGeom prst="rect">
          <a:avLst/>
        </a:prstGeom>
        <a:solidFill>
          <a:srgbClr val="F8C8F1"/>
        </a:solidFill>
        <a:ln>
          <a:solidFill>
            <a:srgbClr val="F8C8F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268941</xdr:colOff>
      <xdr:row>3</xdr:row>
      <xdr:rowOff>29746</xdr:rowOff>
    </xdr:from>
    <xdr:to>
      <xdr:col>8</xdr:col>
      <xdr:colOff>699950</xdr:colOff>
      <xdr:row>4</xdr:row>
      <xdr:rowOff>93273</xdr:rowOff>
    </xdr:to>
    <xdr:sp macro="" textlink="">
      <xdr:nvSpPr>
        <xdr:cNvPr id="40" name="CaixaDeTexto 39">
          <a:hlinkClick xmlns:r="http://schemas.openxmlformats.org/officeDocument/2006/relationships" r:id="rId9"/>
        </xdr:cNvPr>
        <xdr:cNvSpPr txBox="1"/>
      </xdr:nvSpPr>
      <xdr:spPr>
        <a:xfrm>
          <a:off x="6985000" y="530275"/>
          <a:ext cx="1297597" cy="183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 baseline="0"/>
            <a:t>Separação de Cestas</a:t>
          </a:r>
        </a:p>
      </xdr:txBody>
    </xdr:sp>
    <xdr:clientData/>
  </xdr:twoCellAnchor>
  <xdr:twoCellAnchor>
    <xdr:from>
      <xdr:col>8</xdr:col>
      <xdr:colOff>585695</xdr:colOff>
      <xdr:row>2</xdr:row>
      <xdr:rowOff>115049</xdr:rowOff>
    </xdr:from>
    <xdr:to>
      <xdr:col>9</xdr:col>
      <xdr:colOff>800057</xdr:colOff>
      <xdr:row>5</xdr:row>
      <xdr:rowOff>1848</xdr:rowOff>
    </xdr:to>
    <xdr:grpSp>
      <xdr:nvGrpSpPr>
        <xdr:cNvPr id="2" name="Agrupar 1"/>
        <xdr:cNvGrpSpPr/>
      </xdr:nvGrpSpPr>
      <xdr:grpSpPr>
        <a:xfrm>
          <a:off x="7813489" y="507255"/>
          <a:ext cx="1245303" cy="323828"/>
          <a:chOff x="8168342" y="496049"/>
          <a:chExt cx="1297597" cy="312623"/>
        </a:xfrm>
      </xdr:grpSpPr>
      <xdr:sp macro="" textlink="">
        <xdr:nvSpPr>
          <xdr:cNvPr id="41" name="Retângulo 40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CaixaDeTexto 41">
            <a:hlinkClick xmlns:r="http://schemas.openxmlformats.org/officeDocument/2006/relationships" r:id="rId10"/>
          </xdr:cNvPr>
          <xdr:cNvSpPr txBox="1"/>
        </xdr:nvSpPr>
        <xdr:spPr>
          <a:xfrm>
            <a:off x="8168342" y="533266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9</xdr:col>
      <xdr:colOff>605117</xdr:colOff>
      <xdr:row>2</xdr:row>
      <xdr:rowOff>112058</xdr:rowOff>
    </xdr:from>
    <xdr:to>
      <xdr:col>11</xdr:col>
      <xdr:colOff>260217</xdr:colOff>
      <xdr:row>4</xdr:row>
      <xdr:rowOff>185622</xdr:rowOff>
    </xdr:to>
    <xdr:grpSp>
      <xdr:nvGrpSpPr>
        <xdr:cNvPr id="4" name="Agrupar 3"/>
        <xdr:cNvGrpSpPr/>
      </xdr:nvGrpSpPr>
      <xdr:grpSpPr>
        <a:xfrm>
          <a:off x="8863852" y="504264"/>
          <a:ext cx="1537689" cy="320093"/>
          <a:chOff x="8863852" y="504264"/>
          <a:chExt cx="1537689" cy="320093"/>
        </a:xfrm>
      </xdr:grpSpPr>
      <xdr:sp macro="" textlink="">
        <xdr:nvSpPr>
          <xdr:cNvPr id="44" name="Retângulo 43"/>
          <xdr:cNvSpPr/>
        </xdr:nvSpPr>
        <xdr:spPr>
          <a:xfrm>
            <a:off x="9009958" y="504264"/>
            <a:ext cx="1391583" cy="32009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CaixaDeTexto 51">
            <a:hlinkClick xmlns:r="http://schemas.openxmlformats.org/officeDocument/2006/relationships" r:id="rId11"/>
          </xdr:cNvPr>
          <xdr:cNvSpPr txBox="1"/>
        </xdr:nvSpPr>
        <xdr:spPr>
          <a:xfrm>
            <a:off x="8863852" y="555374"/>
            <a:ext cx="1535206" cy="1874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Abastecimento de Postos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172430</xdr:colOff>
      <xdr:row>0</xdr:row>
      <xdr:rowOff>69348</xdr:rowOff>
    </xdr:from>
    <xdr:to>
      <xdr:col>1</xdr:col>
      <xdr:colOff>595929</xdr:colOff>
      <xdr:row>1</xdr:row>
      <xdr:rowOff>147136</xdr:rowOff>
    </xdr:to>
    <xdr:pic macro="[0]!SALVAR_DADOS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30" y="69348"/>
          <a:ext cx="613999" cy="277813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18" name="CaixaDeTexto 17"/>
        <xdr:cNvSpPr txBox="1"/>
      </xdr:nvSpPr>
      <xdr:spPr>
        <a:xfrm>
          <a:off x="1" y="514351"/>
          <a:ext cx="4363762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Montagem</a:t>
          </a:r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 de Cestas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10</xdr:col>
      <xdr:colOff>828674</xdr:colOff>
      <xdr:row>16</xdr:row>
      <xdr:rowOff>152400</xdr:rowOff>
    </xdr:from>
    <xdr:to>
      <xdr:col>12</xdr:col>
      <xdr:colOff>247650</xdr:colOff>
      <xdr:row>18</xdr:row>
      <xdr:rowOff>121340</xdr:rowOff>
    </xdr:to>
    <xdr:sp macro="[0]!MONTAGEM_CESTA" textlink="">
      <xdr:nvSpPr>
        <xdr:cNvPr id="19" name="Retângulo Arredondado 18"/>
        <xdr:cNvSpPr/>
      </xdr:nvSpPr>
      <xdr:spPr>
        <a:xfrm>
          <a:off x="9429749" y="3181350"/>
          <a:ext cx="1419226" cy="349940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  <a:shade val="30000"/>
                <a:satMod val="115000"/>
              </a:schemeClr>
            </a:gs>
            <a:gs pos="50000">
              <a:schemeClr val="accent1">
                <a:lumMod val="75000"/>
                <a:shade val="67500"/>
                <a:satMod val="115000"/>
              </a:schemeClr>
            </a:gs>
            <a:gs pos="100000">
              <a:schemeClr val="accent1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2-Montar Cesta</a:t>
          </a:r>
          <a:r>
            <a:rPr lang="pt-BR" sz="1400" b="1" baseline="0"/>
            <a:t> </a:t>
          </a:r>
          <a:endParaRPr lang="pt-BR" sz="1400" b="1"/>
        </a:p>
      </xdr:txBody>
    </xdr:sp>
    <xdr:clientData/>
  </xdr:twoCellAnchor>
  <xdr:twoCellAnchor>
    <xdr:from>
      <xdr:col>8</xdr:col>
      <xdr:colOff>504825</xdr:colOff>
      <xdr:row>16</xdr:row>
      <xdr:rowOff>161925</xdr:rowOff>
    </xdr:from>
    <xdr:to>
      <xdr:col>10</xdr:col>
      <xdr:colOff>704850</xdr:colOff>
      <xdr:row>18</xdr:row>
      <xdr:rowOff>140390</xdr:rowOff>
    </xdr:to>
    <xdr:sp macro="[0]!BAIXA_ESTOQUE" textlink="">
      <xdr:nvSpPr>
        <xdr:cNvPr id="20" name="Retângulo Arredondado 19"/>
        <xdr:cNvSpPr/>
      </xdr:nvSpPr>
      <xdr:spPr>
        <a:xfrm>
          <a:off x="7877175" y="3190875"/>
          <a:ext cx="1428750" cy="359465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  <a:shade val="30000"/>
                <a:satMod val="115000"/>
              </a:schemeClr>
            </a:gs>
            <a:gs pos="50000">
              <a:schemeClr val="accent6">
                <a:lumMod val="50000"/>
                <a:shade val="67500"/>
                <a:satMod val="115000"/>
              </a:schemeClr>
            </a:gs>
            <a:gs pos="100000">
              <a:schemeClr val="accent6">
                <a:lumMod val="50000"/>
                <a:shade val="100000"/>
                <a:satMod val="115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1-Baixa Estoque </a:t>
          </a:r>
          <a:endParaRPr lang="pt-BR" sz="1400" b="1"/>
        </a:p>
      </xdr:txBody>
    </xdr:sp>
    <xdr:clientData/>
  </xdr:twoCellAnchor>
  <xdr:twoCellAnchor>
    <xdr:from>
      <xdr:col>1</xdr:col>
      <xdr:colOff>733425</xdr:colOff>
      <xdr:row>0</xdr:row>
      <xdr:rowOff>69056</xdr:rowOff>
    </xdr:from>
    <xdr:to>
      <xdr:col>2</xdr:col>
      <xdr:colOff>859977</xdr:colOff>
      <xdr:row>2</xdr:row>
      <xdr:rowOff>92437</xdr:rowOff>
    </xdr:to>
    <xdr:grpSp>
      <xdr:nvGrpSpPr>
        <xdr:cNvPr id="22" name="Agrupar 21"/>
        <xdr:cNvGrpSpPr/>
      </xdr:nvGrpSpPr>
      <xdr:grpSpPr>
        <a:xfrm>
          <a:off x="923925" y="69056"/>
          <a:ext cx="1145727" cy="413906"/>
          <a:chOff x="1002186" y="95249"/>
          <a:chExt cx="1138855" cy="416193"/>
        </a:xfrm>
      </xdr:grpSpPr>
      <xdr:sp macro="" textlink="">
        <xdr:nvSpPr>
          <xdr:cNvPr id="23" name="Arredondar Retângulo no Mesmo Canto Lateral 22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2</xdr:col>
      <xdr:colOff>856896</xdr:colOff>
      <xdr:row>0</xdr:row>
      <xdr:rowOff>66675</xdr:rowOff>
    </xdr:from>
    <xdr:to>
      <xdr:col>4</xdr:col>
      <xdr:colOff>47583</xdr:colOff>
      <xdr:row>2</xdr:row>
      <xdr:rowOff>90056</xdr:rowOff>
    </xdr:to>
    <xdr:grpSp>
      <xdr:nvGrpSpPr>
        <xdr:cNvPr id="25" name="Agrupar 24"/>
        <xdr:cNvGrpSpPr/>
      </xdr:nvGrpSpPr>
      <xdr:grpSpPr>
        <a:xfrm>
          <a:off x="2066571" y="66675"/>
          <a:ext cx="1152837" cy="413906"/>
          <a:chOff x="1983412" y="82686"/>
          <a:chExt cx="1148929" cy="409678"/>
        </a:xfrm>
      </xdr:grpSpPr>
      <xdr:sp macro="" textlink="">
        <xdr:nvSpPr>
          <xdr:cNvPr id="26" name="Arredondar Retângulo no Mesmo Canto Lateral 25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4</xdr:col>
      <xdr:colOff>52872</xdr:colOff>
      <xdr:row>0</xdr:row>
      <xdr:rowOff>66676</xdr:rowOff>
    </xdr:from>
    <xdr:to>
      <xdr:col>5</xdr:col>
      <xdr:colOff>193749</xdr:colOff>
      <xdr:row>2</xdr:row>
      <xdr:rowOff>90057</xdr:rowOff>
    </xdr:to>
    <xdr:grpSp>
      <xdr:nvGrpSpPr>
        <xdr:cNvPr id="28" name="Agrupar 27"/>
        <xdr:cNvGrpSpPr/>
      </xdr:nvGrpSpPr>
      <xdr:grpSpPr>
        <a:xfrm>
          <a:off x="3224697" y="66676"/>
          <a:ext cx="1207677" cy="413906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29" name="Arredondar Retângulo no Mesmo Canto Lateral 28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5</xdr:col>
      <xdr:colOff>196646</xdr:colOff>
      <xdr:row>0</xdr:row>
      <xdr:rowOff>70921</xdr:rowOff>
    </xdr:from>
    <xdr:to>
      <xdr:col>6</xdr:col>
      <xdr:colOff>257332</xdr:colOff>
      <xdr:row>2</xdr:row>
      <xdr:rowOff>94302</xdr:rowOff>
    </xdr:to>
    <xdr:grpSp>
      <xdr:nvGrpSpPr>
        <xdr:cNvPr id="31" name="Agrupar 30"/>
        <xdr:cNvGrpSpPr/>
      </xdr:nvGrpSpPr>
      <xdr:grpSpPr>
        <a:xfrm>
          <a:off x="4435271" y="70921"/>
          <a:ext cx="1146536" cy="413906"/>
          <a:chOff x="4459426" y="84964"/>
          <a:chExt cx="1146536" cy="412664"/>
        </a:xfrm>
        <a:solidFill>
          <a:schemeClr val="bg1">
            <a:lumMod val="65000"/>
          </a:schemeClr>
        </a:solidFill>
      </xdr:grpSpPr>
      <xdr:sp macro="" textlink="">
        <xdr:nvSpPr>
          <xdr:cNvPr id="32" name="Arredondar Retângulo no Mesmo Canto Lateral 31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hlinkClick xmlns:r="http://schemas.openxmlformats.org/officeDocument/2006/relationships" r:id="rId5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6</xdr:col>
      <xdr:colOff>265370</xdr:colOff>
      <xdr:row>0</xdr:row>
      <xdr:rowOff>67483</xdr:rowOff>
    </xdr:from>
    <xdr:to>
      <xdr:col>7</xdr:col>
      <xdr:colOff>355732</xdr:colOff>
      <xdr:row>2</xdr:row>
      <xdr:rowOff>90864</xdr:rowOff>
    </xdr:to>
    <xdr:grpSp>
      <xdr:nvGrpSpPr>
        <xdr:cNvPr id="34" name="Agrupar 33"/>
        <xdr:cNvGrpSpPr/>
      </xdr:nvGrpSpPr>
      <xdr:grpSpPr>
        <a:xfrm>
          <a:off x="5589845" y="67483"/>
          <a:ext cx="1138112" cy="413906"/>
          <a:chOff x="5584031" y="63117"/>
          <a:chExt cx="1138112" cy="413906"/>
        </a:xfrm>
      </xdr:grpSpPr>
      <xdr:sp macro="" textlink="">
        <xdr:nvSpPr>
          <xdr:cNvPr id="35" name="Arredondar Retângulo no Mesmo Canto Lateral 34"/>
          <xdr:cNvSpPr/>
        </xdr:nvSpPr>
        <xdr:spPr>
          <a:xfrm>
            <a:off x="5584031" y="63117"/>
            <a:ext cx="1138112" cy="41390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hlinkClick xmlns:r="http://schemas.openxmlformats.org/officeDocument/2006/relationships" r:id="rId6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6</xdr:col>
      <xdr:colOff>262107</xdr:colOff>
      <xdr:row>2</xdr:row>
      <xdr:rowOff>107871</xdr:rowOff>
    </xdr:from>
    <xdr:to>
      <xdr:col>7</xdr:col>
      <xdr:colOff>365908</xdr:colOff>
      <xdr:row>4</xdr:row>
      <xdr:rowOff>190026</xdr:rowOff>
    </xdr:to>
    <xdr:grpSp>
      <xdr:nvGrpSpPr>
        <xdr:cNvPr id="37" name="Agrupar 36"/>
        <xdr:cNvGrpSpPr/>
      </xdr:nvGrpSpPr>
      <xdr:grpSpPr>
        <a:xfrm>
          <a:off x="5586582" y="498396"/>
          <a:ext cx="1151551" cy="329805"/>
          <a:chOff x="5580768" y="494030"/>
          <a:chExt cx="1151551" cy="329805"/>
        </a:xfrm>
      </xdr:grpSpPr>
      <xdr:sp macro="" textlink="">
        <xdr:nvSpPr>
          <xdr:cNvPr id="38" name="Retângulo 37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hlinkClick xmlns:r="http://schemas.openxmlformats.org/officeDocument/2006/relationships" r:id="rId7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 Montadas</a:t>
            </a:r>
          </a:p>
        </xdr:txBody>
      </xdr:sp>
    </xdr:grpSp>
    <xdr:clientData/>
  </xdr:twoCellAnchor>
  <xdr:twoCellAnchor>
    <xdr:from>
      <xdr:col>5</xdr:col>
      <xdr:colOff>190361</xdr:colOff>
      <xdr:row>2</xdr:row>
      <xdr:rowOff>107015</xdr:rowOff>
    </xdr:from>
    <xdr:to>
      <xdr:col>6</xdr:col>
      <xdr:colOff>253464</xdr:colOff>
      <xdr:row>5</xdr:row>
      <xdr:rowOff>0</xdr:rowOff>
    </xdr:to>
    <xdr:grpSp>
      <xdr:nvGrpSpPr>
        <xdr:cNvPr id="40" name="Agrupar 39">
          <a:hlinkClick xmlns:r="http://schemas.openxmlformats.org/officeDocument/2006/relationships" r:id="rId8"/>
        </xdr:cNvPr>
        <xdr:cNvGrpSpPr/>
      </xdr:nvGrpSpPr>
      <xdr:grpSpPr>
        <a:xfrm>
          <a:off x="4428986" y="497540"/>
          <a:ext cx="1148953" cy="331135"/>
          <a:chOff x="4423172" y="493174"/>
          <a:chExt cx="1148953" cy="329805"/>
        </a:xfrm>
        <a:solidFill>
          <a:schemeClr val="bg1">
            <a:lumMod val="65000"/>
          </a:schemeClr>
        </a:solidFill>
      </xdr:grpSpPr>
      <xdr:sp macro="" textlink="">
        <xdr:nvSpPr>
          <xdr:cNvPr id="41" name="Retângulo 40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CaixaDeTexto 41"/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7</xdr:col>
      <xdr:colOff>241299</xdr:colOff>
      <xdr:row>2</xdr:row>
      <xdr:rowOff>114300</xdr:rowOff>
    </xdr:from>
    <xdr:to>
      <xdr:col>8</xdr:col>
      <xdr:colOff>628649</xdr:colOff>
      <xdr:row>5</xdr:row>
      <xdr:rowOff>1473</xdr:rowOff>
    </xdr:to>
    <xdr:grpSp>
      <xdr:nvGrpSpPr>
        <xdr:cNvPr id="43" name="Agrupar 42"/>
        <xdr:cNvGrpSpPr/>
      </xdr:nvGrpSpPr>
      <xdr:grpSpPr>
        <a:xfrm>
          <a:off x="6613524" y="504825"/>
          <a:ext cx="1387475" cy="325323"/>
          <a:chOff x="6875224" y="496902"/>
          <a:chExt cx="1297597" cy="312623"/>
        </a:xfrm>
        <a:solidFill>
          <a:srgbClr val="F8C8F1"/>
        </a:solidFill>
      </xdr:grpSpPr>
      <xdr:sp macro="" textlink="">
        <xdr:nvSpPr>
          <xdr:cNvPr id="44" name="Retângulo 43"/>
          <xdr:cNvSpPr/>
        </xdr:nvSpPr>
        <xdr:spPr>
          <a:xfrm>
            <a:off x="6941887" y="496902"/>
            <a:ext cx="1176203" cy="312623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CaixaDeTexto 44">
            <a:hlinkClick xmlns:r="http://schemas.openxmlformats.org/officeDocument/2006/relationships" r:id="rId9"/>
          </xdr:cNvPr>
          <xdr:cNvSpPr txBox="1"/>
        </xdr:nvSpPr>
        <xdr:spPr>
          <a:xfrm>
            <a:off x="6875224" y="534119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Separação de Cestas</a:t>
            </a:r>
          </a:p>
        </xdr:txBody>
      </xdr:sp>
    </xdr:grpSp>
    <xdr:clientData/>
  </xdr:twoCellAnchor>
  <xdr:twoCellAnchor>
    <xdr:from>
      <xdr:col>8</xdr:col>
      <xdr:colOff>444500</xdr:colOff>
      <xdr:row>2</xdr:row>
      <xdr:rowOff>114300</xdr:rowOff>
    </xdr:from>
    <xdr:to>
      <xdr:col>10</xdr:col>
      <xdr:colOff>459397</xdr:colOff>
      <xdr:row>5</xdr:row>
      <xdr:rowOff>1473</xdr:rowOff>
    </xdr:to>
    <xdr:grpSp>
      <xdr:nvGrpSpPr>
        <xdr:cNvPr id="46" name="Agrupar 45"/>
        <xdr:cNvGrpSpPr/>
      </xdr:nvGrpSpPr>
      <xdr:grpSpPr>
        <a:xfrm>
          <a:off x="7816850" y="504825"/>
          <a:ext cx="1243622" cy="325323"/>
          <a:chOff x="8168342" y="496049"/>
          <a:chExt cx="1297597" cy="312623"/>
        </a:xfrm>
      </xdr:grpSpPr>
      <xdr:sp macro="" textlink="">
        <xdr:nvSpPr>
          <xdr:cNvPr id="47" name="Retângulo 46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hlinkClick xmlns:r="http://schemas.openxmlformats.org/officeDocument/2006/relationships" r:id="rId10"/>
          </xdr:cNvPr>
          <xdr:cNvSpPr txBox="1"/>
        </xdr:nvSpPr>
        <xdr:spPr>
          <a:xfrm>
            <a:off x="8168342" y="533266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10</xdr:col>
      <xdr:colOff>311150</xdr:colOff>
      <xdr:row>2</xdr:row>
      <xdr:rowOff>114300</xdr:rowOff>
    </xdr:from>
    <xdr:to>
      <xdr:col>11</xdr:col>
      <xdr:colOff>952501</xdr:colOff>
      <xdr:row>5</xdr:row>
      <xdr:rowOff>1473</xdr:rowOff>
    </xdr:to>
    <xdr:grpSp>
      <xdr:nvGrpSpPr>
        <xdr:cNvPr id="52" name="Agrupar 51"/>
        <xdr:cNvGrpSpPr/>
      </xdr:nvGrpSpPr>
      <xdr:grpSpPr>
        <a:xfrm>
          <a:off x="8912225" y="504825"/>
          <a:ext cx="1527176" cy="325323"/>
          <a:chOff x="9336668" y="493058"/>
          <a:chExt cx="1297597" cy="312623"/>
        </a:xfrm>
      </xdr:grpSpPr>
      <xdr:sp macro="" textlink="">
        <xdr:nvSpPr>
          <xdr:cNvPr id="53" name="Retângulo 52"/>
          <xdr:cNvSpPr/>
        </xdr:nvSpPr>
        <xdr:spPr>
          <a:xfrm>
            <a:off x="9427310" y="493058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hlinkClick xmlns:r="http://schemas.openxmlformats.org/officeDocument/2006/relationships" r:id="rId11"/>
          </xdr:cNvPr>
          <xdr:cNvSpPr txBox="1"/>
        </xdr:nvSpPr>
        <xdr:spPr>
          <a:xfrm>
            <a:off x="9336668" y="542975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Abastecimento Postos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134330</xdr:colOff>
      <xdr:row>0</xdr:row>
      <xdr:rowOff>63670</xdr:rowOff>
    </xdr:from>
    <xdr:to>
      <xdr:col>1</xdr:col>
      <xdr:colOff>552450</xdr:colOff>
      <xdr:row>1</xdr:row>
      <xdr:rowOff>148467</xdr:rowOff>
    </xdr:to>
    <xdr:pic macro="[0]!SALVAR_DADOS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30" y="63670"/>
          <a:ext cx="608620" cy="284822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6" name="CaixaDeTexto 5"/>
        <xdr:cNvSpPr txBox="1"/>
      </xdr:nvSpPr>
      <xdr:spPr>
        <a:xfrm>
          <a:off x="1" y="514351"/>
          <a:ext cx="4278037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Cestas Montadas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2</xdr:col>
      <xdr:colOff>19050</xdr:colOff>
      <xdr:row>0</xdr:row>
      <xdr:rowOff>69056</xdr:rowOff>
    </xdr:from>
    <xdr:to>
      <xdr:col>3</xdr:col>
      <xdr:colOff>450402</xdr:colOff>
      <xdr:row>2</xdr:row>
      <xdr:rowOff>92437</xdr:rowOff>
    </xdr:to>
    <xdr:grpSp>
      <xdr:nvGrpSpPr>
        <xdr:cNvPr id="28" name="Agrupar 27"/>
        <xdr:cNvGrpSpPr/>
      </xdr:nvGrpSpPr>
      <xdr:grpSpPr>
        <a:xfrm>
          <a:off x="921941" y="69056"/>
          <a:ext cx="1145727" cy="410334"/>
          <a:chOff x="1002186" y="95249"/>
          <a:chExt cx="1138855" cy="416193"/>
        </a:xfrm>
      </xdr:grpSpPr>
      <xdr:sp macro="" textlink="">
        <xdr:nvSpPr>
          <xdr:cNvPr id="29" name="Arredondar Retângulo no Mesmo Canto Lateral 28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447321</xdr:colOff>
      <xdr:row>0</xdr:row>
      <xdr:rowOff>66675</xdr:rowOff>
    </xdr:from>
    <xdr:to>
      <xdr:col>4</xdr:col>
      <xdr:colOff>742908</xdr:colOff>
      <xdr:row>2</xdr:row>
      <xdr:rowOff>90056</xdr:rowOff>
    </xdr:to>
    <xdr:grpSp>
      <xdr:nvGrpSpPr>
        <xdr:cNvPr id="31" name="Agrupar 30"/>
        <xdr:cNvGrpSpPr/>
      </xdr:nvGrpSpPr>
      <xdr:grpSpPr>
        <a:xfrm>
          <a:off x="2064587" y="66675"/>
          <a:ext cx="1148868" cy="410334"/>
          <a:chOff x="1983412" y="82686"/>
          <a:chExt cx="1148929" cy="409678"/>
        </a:xfrm>
      </xdr:grpSpPr>
      <xdr:sp macro="" textlink="">
        <xdr:nvSpPr>
          <xdr:cNvPr id="32" name="Arredondar Retângulo no Mesmo Canto Lateral 31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4</xdr:col>
      <xdr:colOff>748197</xdr:colOff>
      <xdr:row>0</xdr:row>
      <xdr:rowOff>66676</xdr:rowOff>
    </xdr:from>
    <xdr:to>
      <xdr:col>6</xdr:col>
      <xdr:colOff>403299</xdr:colOff>
      <xdr:row>2</xdr:row>
      <xdr:rowOff>90057</xdr:rowOff>
    </xdr:to>
    <xdr:grpSp>
      <xdr:nvGrpSpPr>
        <xdr:cNvPr id="34" name="Agrupar 33"/>
        <xdr:cNvGrpSpPr/>
      </xdr:nvGrpSpPr>
      <xdr:grpSpPr>
        <a:xfrm>
          <a:off x="3218744" y="66676"/>
          <a:ext cx="1292211" cy="410334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35" name="Arredondar Retângulo no Mesmo Canto Lateral 34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6</xdr:col>
      <xdr:colOff>406196</xdr:colOff>
      <xdr:row>0</xdr:row>
      <xdr:rowOff>70921</xdr:rowOff>
    </xdr:from>
    <xdr:to>
      <xdr:col>8</xdr:col>
      <xdr:colOff>219232</xdr:colOff>
      <xdr:row>2</xdr:row>
      <xdr:rowOff>94302</xdr:rowOff>
    </xdr:to>
    <xdr:grpSp>
      <xdr:nvGrpSpPr>
        <xdr:cNvPr id="37" name="Agrupar 36"/>
        <xdr:cNvGrpSpPr/>
      </xdr:nvGrpSpPr>
      <xdr:grpSpPr>
        <a:xfrm>
          <a:off x="4513852" y="70921"/>
          <a:ext cx="1142568" cy="410334"/>
          <a:chOff x="4459426" y="84964"/>
          <a:chExt cx="1146536" cy="412664"/>
        </a:xfrm>
        <a:solidFill>
          <a:schemeClr val="bg1">
            <a:lumMod val="65000"/>
          </a:schemeClr>
        </a:solidFill>
      </xdr:grpSpPr>
      <xdr:sp macro="" textlink="">
        <xdr:nvSpPr>
          <xdr:cNvPr id="38" name="Arredondar Retângulo no Mesmo Canto Lateral 37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hlinkClick xmlns:r="http://schemas.openxmlformats.org/officeDocument/2006/relationships" r:id="rId5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8</xdr:col>
      <xdr:colOff>227270</xdr:colOff>
      <xdr:row>0</xdr:row>
      <xdr:rowOff>67483</xdr:rowOff>
    </xdr:from>
    <xdr:to>
      <xdr:col>9</xdr:col>
      <xdr:colOff>498607</xdr:colOff>
      <xdr:row>2</xdr:row>
      <xdr:rowOff>90864</xdr:rowOff>
    </xdr:to>
    <xdr:grpSp>
      <xdr:nvGrpSpPr>
        <xdr:cNvPr id="40" name="Agrupar 39"/>
        <xdr:cNvGrpSpPr/>
      </xdr:nvGrpSpPr>
      <xdr:grpSpPr>
        <a:xfrm>
          <a:off x="5664458" y="67483"/>
          <a:ext cx="1134540" cy="410334"/>
          <a:chOff x="5584031" y="63117"/>
          <a:chExt cx="1138112" cy="413906"/>
        </a:xfrm>
      </xdr:grpSpPr>
      <xdr:sp macro="" textlink="">
        <xdr:nvSpPr>
          <xdr:cNvPr id="41" name="Arredondar Retângulo no Mesmo Canto Lateral 40"/>
          <xdr:cNvSpPr/>
        </xdr:nvSpPr>
        <xdr:spPr>
          <a:xfrm>
            <a:off x="5584031" y="63117"/>
            <a:ext cx="1138112" cy="41390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CaixaDeTexto 41">
            <a:hlinkClick xmlns:r="http://schemas.openxmlformats.org/officeDocument/2006/relationships" r:id="rId6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8</xdr:col>
      <xdr:colOff>224007</xdr:colOff>
      <xdr:row>2</xdr:row>
      <xdr:rowOff>107871</xdr:rowOff>
    </xdr:from>
    <xdr:to>
      <xdr:col>9</xdr:col>
      <xdr:colOff>508783</xdr:colOff>
      <xdr:row>4</xdr:row>
      <xdr:rowOff>190026</xdr:rowOff>
    </xdr:to>
    <xdr:grpSp>
      <xdr:nvGrpSpPr>
        <xdr:cNvPr id="43" name="Agrupar 42"/>
        <xdr:cNvGrpSpPr/>
      </xdr:nvGrpSpPr>
      <xdr:grpSpPr>
        <a:xfrm>
          <a:off x="5661195" y="494824"/>
          <a:ext cx="1147979" cy="320280"/>
          <a:chOff x="5580768" y="494030"/>
          <a:chExt cx="1151551" cy="329805"/>
        </a:xfrm>
        <a:solidFill>
          <a:schemeClr val="bg1">
            <a:lumMod val="65000"/>
          </a:schemeClr>
        </a:solidFill>
      </xdr:grpSpPr>
      <xdr:sp macro="" textlink="">
        <xdr:nvSpPr>
          <xdr:cNvPr id="44" name="Retângulo 43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CaixaDeTexto 44"/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 Montadas</a:t>
            </a:r>
          </a:p>
        </xdr:txBody>
      </xdr:sp>
    </xdr:grpSp>
    <xdr:clientData/>
  </xdr:twoCellAnchor>
  <xdr:twoCellAnchor>
    <xdr:from>
      <xdr:col>6</xdr:col>
      <xdr:colOff>399911</xdr:colOff>
      <xdr:row>2</xdr:row>
      <xdr:rowOff>107015</xdr:rowOff>
    </xdr:from>
    <xdr:to>
      <xdr:col>8</xdr:col>
      <xdr:colOff>215364</xdr:colOff>
      <xdr:row>5</xdr:row>
      <xdr:rowOff>0</xdr:rowOff>
    </xdr:to>
    <xdr:grpSp>
      <xdr:nvGrpSpPr>
        <xdr:cNvPr id="46" name="Agrupar 45">
          <a:hlinkClick xmlns:r="http://schemas.openxmlformats.org/officeDocument/2006/relationships" r:id="rId7"/>
        </xdr:cNvPr>
        <xdr:cNvGrpSpPr/>
      </xdr:nvGrpSpPr>
      <xdr:grpSpPr>
        <a:xfrm>
          <a:off x="4507567" y="493968"/>
          <a:ext cx="1144985" cy="319626"/>
          <a:chOff x="4423172" y="493174"/>
          <a:chExt cx="1148953" cy="329805"/>
        </a:xfrm>
        <a:solidFill>
          <a:srgbClr val="F8C8F1"/>
        </a:solidFill>
      </xdr:grpSpPr>
      <xdr:sp macro="" textlink="">
        <xdr:nvSpPr>
          <xdr:cNvPr id="47" name="Retângulo 46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/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9</xdr:col>
      <xdr:colOff>406795</xdr:colOff>
      <xdr:row>2</xdr:row>
      <xdr:rowOff>112448</xdr:rowOff>
    </xdr:from>
    <xdr:to>
      <xdr:col>11</xdr:col>
      <xdr:colOff>59530</xdr:colOff>
      <xdr:row>5</xdr:row>
      <xdr:rowOff>1738</xdr:rowOff>
    </xdr:to>
    <xdr:grpSp>
      <xdr:nvGrpSpPr>
        <xdr:cNvPr id="49" name="Agrupar 48"/>
        <xdr:cNvGrpSpPr/>
      </xdr:nvGrpSpPr>
      <xdr:grpSpPr>
        <a:xfrm>
          <a:off x="6707186" y="499401"/>
          <a:ext cx="1379141" cy="315931"/>
          <a:chOff x="6875224" y="496902"/>
          <a:chExt cx="1297597" cy="312623"/>
        </a:xfrm>
        <a:solidFill>
          <a:srgbClr val="F8C8F1"/>
        </a:solidFill>
      </xdr:grpSpPr>
      <xdr:sp macro="" textlink="">
        <xdr:nvSpPr>
          <xdr:cNvPr id="50" name="Retângulo 49"/>
          <xdr:cNvSpPr/>
        </xdr:nvSpPr>
        <xdr:spPr>
          <a:xfrm>
            <a:off x="6941887" y="496902"/>
            <a:ext cx="1176203" cy="312623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CaixaDeTexto 50">
            <a:hlinkClick xmlns:r="http://schemas.openxmlformats.org/officeDocument/2006/relationships" r:id="rId8"/>
          </xdr:cNvPr>
          <xdr:cNvSpPr txBox="1"/>
        </xdr:nvSpPr>
        <xdr:spPr>
          <a:xfrm>
            <a:off x="6875224" y="534119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Separação de Cestas</a:t>
            </a:r>
          </a:p>
        </xdr:txBody>
      </xdr:sp>
    </xdr:grpSp>
    <xdr:clientData/>
  </xdr:twoCellAnchor>
  <xdr:twoCellAnchor>
    <xdr:from>
      <xdr:col>10</xdr:col>
      <xdr:colOff>740832</xdr:colOff>
      <xdr:row>2</xdr:row>
      <xdr:rowOff>112448</xdr:rowOff>
    </xdr:from>
    <xdr:to>
      <xdr:col>12</xdr:col>
      <xdr:colOff>186346</xdr:colOff>
      <xdr:row>5</xdr:row>
      <xdr:rowOff>1738</xdr:rowOff>
    </xdr:to>
    <xdr:grpSp>
      <xdr:nvGrpSpPr>
        <xdr:cNvPr id="52" name="Agrupar 51"/>
        <xdr:cNvGrpSpPr/>
      </xdr:nvGrpSpPr>
      <xdr:grpSpPr>
        <a:xfrm>
          <a:off x="7904426" y="499401"/>
          <a:ext cx="1211608" cy="315931"/>
          <a:chOff x="8168342" y="496049"/>
          <a:chExt cx="1297597" cy="312623"/>
        </a:xfrm>
      </xdr:grpSpPr>
      <xdr:sp macro="" textlink="">
        <xdr:nvSpPr>
          <xdr:cNvPr id="53" name="Retângulo 52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>
            <a:hlinkClick xmlns:r="http://schemas.openxmlformats.org/officeDocument/2006/relationships" r:id="rId9"/>
          </xdr:cNvPr>
          <xdr:cNvSpPr txBox="1"/>
        </xdr:nvSpPr>
        <xdr:spPr>
          <a:xfrm>
            <a:off x="8168342" y="533266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12</xdr:col>
      <xdr:colOff>69453</xdr:colOff>
      <xdr:row>2</xdr:row>
      <xdr:rowOff>112448</xdr:rowOff>
    </xdr:from>
    <xdr:to>
      <xdr:col>13</xdr:col>
      <xdr:colOff>652675</xdr:colOff>
      <xdr:row>5</xdr:row>
      <xdr:rowOff>1738</xdr:rowOff>
    </xdr:to>
    <xdr:grpSp>
      <xdr:nvGrpSpPr>
        <xdr:cNvPr id="55" name="Agrupar 54"/>
        <xdr:cNvGrpSpPr/>
      </xdr:nvGrpSpPr>
      <xdr:grpSpPr>
        <a:xfrm>
          <a:off x="8999141" y="499401"/>
          <a:ext cx="1496034" cy="315931"/>
          <a:chOff x="9360647" y="493058"/>
          <a:chExt cx="1297597" cy="312623"/>
        </a:xfrm>
      </xdr:grpSpPr>
      <xdr:sp macro="" textlink="">
        <xdr:nvSpPr>
          <xdr:cNvPr id="56" name="Retângulo 55"/>
          <xdr:cNvSpPr/>
        </xdr:nvSpPr>
        <xdr:spPr>
          <a:xfrm>
            <a:off x="9427310" y="493058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CaixaDeTexto 56">
            <a:hlinkClick xmlns:r="http://schemas.openxmlformats.org/officeDocument/2006/relationships" r:id="rId10"/>
          </xdr:cNvPr>
          <xdr:cNvSpPr txBox="1"/>
        </xdr:nvSpPr>
        <xdr:spPr>
          <a:xfrm>
            <a:off x="9360647" y="542975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Abastecimento Postos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70247</xdr:rowOff>
    </xdr:from>
    <xdr:to>
      <xdr:col>3</xdr:col>
      <xdr:colOff>117027</xdr:colOff>
      <xdr:row>2</xdr:row>
      <xdr:rowOff>93628</xdr:rowOff>
    </xdr:to>
    <xdr:grpSp>
      <xdr:nvGrpSpPr>
        <xdr:cNvPr id="2" name="Agrupar 1"/>
        <xdr:cNvGrpSpPr/>
      </xdr:nvGrpSpPr>
      <xdr:grpSpPr>
        <a:xfrm>
          <a:off x="798635" y="70247"/>
          <a:ext cx="1142796" cy="411708"/>
          <a:chOff x="1002186" y="95249"/>
          <a:chExt cx="1138855" cy="416193"/>
        </a:xfrm>
      </xdr:grpSpPr>
      <xdr:sp macro="" textlink="">
        <xdr:nvSpPr>
          <xdr:cNvPr id="3" name="Arredondar Retângulo no Mesmo Canto Lateral 2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113946</xdr:colOff>
      <xdr:row>0</xdr:row>
      <xdr:rowOff>67866</xdr:rowOff>
    </xdr:from>
    <xdr:to>
      <xdr:col>5</xdr:col>
      <xdr:colOff>47583</xdr:colOff>
      <xdr:row>2</xdr:row>
      <xdr:rowOff>91247</xdr:rowOff>
    </xdr:to>
    <xdr:grpSp>
      <xdr:nvGrpSpPr>
        <xdr:cNvPr id="5" name="Agrupar 4"/>
        <xdr:cNvGrpSpPr/>
      </xdr:nvGrpSpPr>
      <xdr:grpSpPr>
        <a:xfrm>
          <a:off x="1938350" y="67866"/>
          <a:ext cx="1149906" cy="411708"/>
          <a:chOff x="1983412" y="82686"/>
          <a:chExt cx="1148929" cy="409678"/>
        </a:xfrm>
      </xdr:grpSpPr>
      <xdr:sp macro="" textlink="">
        <xdr:nvSpPr>
          <xdr:cNvPr id="6" name="Arredondar Retângulo no Mesmo Canto Lateral 5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2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5</xdr:col>
      <xdr:colOff>52872</xdr:colOff>
      <xdr:row>0</xdr:row>
      <xdr:rowOff>67867</xdr:rowOff>
    </xdr:from>
    <xdr:to>
      <xdr:col>7</xdr:col>
      <xdr:colOff>41349</xdr:colOff>
      <xdr:row>2</xdr:row>
      <xdr:rowOff>91248</xdr:rowOff>
    </xdr:to>
    <xdr:grpSp>
      <xdr:nvGrpSpPr>
        <xdr:cNvPr id="8" name="Agrupar 7"/>
        <xdr:cNvGrpSpPr/>
      </xdr:nvGrpSpPr>
      <xdr:grpSpPr>
        <a:xfrm>
          <a:off x="3093545" y="67867"/>
          <a:ext cx="1204746" cy="411708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9" name="Arredondar Retângulo no Mesmo Canto Lateral 8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hlinkClick xmlns:r="http://schemas.openxmlformats.org/officeDocument/2006/relationships" r:id="rId3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7</xdr:col>
      <xdr:colOff>44246</xdr:colOff>
      <xdr:row>0</xdr:row>
      <xdr:rowOff>72112</xdr:rowOff>
    </xdr:from>
    <xdr:to>
      <xdr:col>8</xdr:col>
      <xdr:colOff>581182</xdr:colOff>
      <xdr:row>2</xdr:row>
      <xdr:rowOff>95493</xdr:rowOff>
    </xdr:to>
    <xdr:grpSp>
      <xdr:nvGrpSpPr>
        <xdr:cNvPr id="11" name="Agrupar 10">
          <a:hlinkClick xmlns:r="http://schemas.openxmlformats.org/officeDocument/2006/relationships" r:id="rId4"/>
        </xdr:cNvPr>
        <xdr:cNvGrpSpPr/>
      </xdr:nvGrpSpPr>
      <xdr:grpSpPr>
        <a:xfrm>
          <a:off x="4301188" y="72112"/>
          <a:ext cx="1145071" cy="411708"/>
          <a:chOff x="4459426" y="84964"/>
          <a:chExt cx="1146536" cy="412664"/>
        </a:xfrm>
        <a:solidFill>
          <a:srgbClr val="F8C8F1"/>
        </a:solidFill>
      </xdr:grpSpPr>
      <xdr:sp macro="" textlink="">
        <xdr:nvSpPr>
          <xdr:cNvPr id="12" name="Arredondar Retângulo no Mesmo Canto Lateral 11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5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8</xdr:col>
      <xdr:colOff>589220</xdr:colOff>
      <xdr:row>0</xdr:row>
      <xdr:rowOff>68674</xdr:rowOff>
    </xdr:from>
    <xdr:to>
      <xdr:col>10</xdr:col>
      <xdr:colOff>508132</xdr:colOff>
      <xdr:row>2</xdr:row>
      <xdr:rowOff>92055</xdr:rowOff>
    </xdr:to>
    <xdr:grpSp>
      <xdr:nvGrpSpPr>
        <xdr:cNvPr id="14" name="Agrupar 13"/>
        <xdr:cNvGrpSpPr/>
      </xdr:nvGrpSpPr>
      <xdr:grpSpPr>
        <a:xfrm>
          <a:off x="5454297" y="68674"/>
          <a:ext cx="1135181" cy="411708"/>
          <a:chOff x="5574506" y="63117"/>
          <a:chExt cx="1138112" cy="413906"/>
        </a:xfrm>
        <a:solidFill>
          <a:schemeClr val="bg1">
            <a:lumMod val="65000"/>
          </a:schemeClr>
        </a:solidFill>
      </xdr:grpSpPr>
      <xdr:sp macro="" textlink="">
        <xdr:nvSpPr>
          <xdr:cNvPr id="15" name="Arredondar Retângulo no Mesmo Canto Lateral 14"/>
          <xdr:cNvSpPr/>
        </xdr:nvSpPr>
        <xdr:spPr>
          <a:xfrm>
            <a:off x="5574506" y="63117"/>
            <a:ext cx="1138112" cy="413906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/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8</xdr:col>
      <xdr:colOff>576432</xdr:colOff>
      <xdr:row>2</xdr:row>
      <xdr:rowOff>105368</xdr:rowOff>
    </xdr:from>
    <xdr:to>
      <xdr:col>10</xdr:col>
      <xdr:colOff>508783</xdr:colOff>
      <xdr:row>4</xdr:row>
      <xdr:rowOff>181447</xdr:rowOff>
    </xdr:to>
    <xdr:grpSp>
      <xdr:nvGrpSpPr>
        <xdr:cNvPr id="17" name="Agrupar 16"/>
        <xdr:cNvGrpSpPr/>
      </xdr:nvGrpSpPr>
      <xdr:grpSpPr>
        <a:xfrm>
          <a:off x="5441509" y="493695"/>
          <a:ext cx="1148620" cy="325194"/>
          <a:chOff x="5580768" y="494030"/>
          <a:chExt cx="1151551" cy="329805"/>
        </a:xfrm>
      </xdr:grpSpPr>
      <xdr:sp macro="" textlink="">
        <xdr:nvSpPr>
          <xdr:cNvPr id="18" name="Retângulo 17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hlinkClick xmlns:r="http://schemas.openxmlformats.org/officeDocument/2006/relationships" r:id="rId6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Geral</a:t>
            </a:r>
          </a:p>
        </xdr:txBody>
      </xdr:sp>
    </xdr:grpSp>
    <xdr:clientData/>
  </xdr:twoCellAnchor>
  <xdr:twoCellAnchor editAs="oneCell">
    <xdr:from>
      <xdr:col>0</xdr:col>
      <xdr:colOff>134330</xdr:colOff>
      <xdr:row>0</xdr:row>
      <xdr:rowOff>63670</xdr:rowOff>
    </xdr:from>
    <xdr:to>
      <xdr:col>1</xdr:col>
      <xdr:colOff>133350</xdr:colOff>
      <xdr:row>1</xdr:row>
      <xdr:rowOff>157992</xdr:rowOff>
    </xdr:to>
    <xdr:pic macro="[0]!SALVAR_DADOS"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30" y="63670"/>
          <a:ext cx="608620" cy="284822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24" name="CaixaDeTexto 23"/>
        <xdr:cNvSpPr txBox="1"/>
      </xdr:nvSpPr>
      <xdr:spPr>
        <a:xfrm>
          <a:off x="1" y="514351"/>
          <a:ext cx="3401737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Relatórios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10</xdr:col>
      <xdr:colOff>513420</xdr:colOff>
      <xdr:row>2</xdr:row>
      <xdr:rowOff>108348</xdr:rowOff>
    </xdr:from>
    <xdr:to>
      <xdr:col>12</xdr:col>
      <xdr:colOff>445771</xdr:colOff>
      <xdr:row>4</xdr:row>
      <xdr:rowOff>189312</xdr:rowOff>
    </xdr:to>
    <xdr:grpSp>
      <xdr:nvGrpSpPr>
        <xdr:cNvPr id="46" name="Agrupar 45"/>
        <xdr:cNvGrpSpPr/>
      </xdr:nvGrpSpPr>
      <xdr:grpSpPr>
        <a:xfrm>
          <a:off x="6594766" y="496675"/>
          <a:ext cx="1148620" cy="330079"/>
          <a:chOff x="5580768" y="494030"/>
          <a:chExt cx="1151551" cy="329805"/>
        </a:xfrm>
      </xdr:grpSpPr>
      <xdr:sp macro="" textlink="">
        <xdr:nvSpPr>
          <xdr:cNvPr id="47" name="Retângulo 46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8" name="CaixaDeTexto 47">
            <a:hlinkClick xmlns:r="http://schemas.openxmlformats.org/officeDocument/2006/relationships" r:id="rId8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134330</xdr:colOff>
      <xdr:row>0</xdr:row>
      <xdr:rowOff>63670</xdr:rowOff>
    </xdr:from>
    <xdr:to>
      <xdr:col>1</xdr:col>
      <xdr:colOff>641350</xdr:colOff>
      <xdr:row>1</xdr:row>
      <xdr:rowOff>167517</xdr:rowOff>
    </xdr:to>
    <xdr:pic macro="[0]!SALVAR_DADOS"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30" y="63670"/>
          <a:ext cx="608620" cy="29434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1</xdr:rowOff>
    </xdr:from>
    <xdr:to>
      <xdr:col>4</xdr:col>
      <xdr:colOff>542925</xdr:colOff>
      <xdr:row>5</xdr:row>
      <xdr:rowOff>39414</xdr:rowOff>
    </xdr:to>
    <xdr:sp macro="" textlink="">
      <xdr:nvSpPr>
        <xdr:cNvPr id="23" name="CaixaDeTexto 22"/>
        <xdr:cNvSpPr txBox="1"/>
      </xdr:nvSpPr>
      <xdr:spPr>
        <a:xfrm>
          <a:off x="1" y="514351"/>
          <a:ext cx="2028824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Relatório Geral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2</xdr:col>
      <xdr:colOff>177901</xdr:colOff>
      <xdr:row>0</xdr:row>
      <xdr:rowOff>67546</xdr:rowOff>
    </xdr:from>
    <xdr:to>
      <xdr:col>4</xdr:col>
      <xdr:colOff>576188</xdr:colOff>
      <xdr:row>2</xdr:row>
      <xdr:rowOff>92169</xdr:rowOff>
    </xdr:to>
    <xdr:grpSp>
      <xdr:nvGrpSpPr>
        <xdr:cNvPr id="27" name="Agrupar 26"/>
        <xdr:cNvGrpSpPr/>
      </xdr:nvGrpSpPr>
      <xdr:grpSpPr>
        <a:xfrm>
          <a:off x="1007136" y="67546"/>
          <a:ext cx="1205111" cy="416829"/>
          <a:chOff x="1002186" y="95249"/>
          <a:chExt cx="1138855" cy="416193"/>
        </a:xfrm>
      </xdr:grpSpPr>
      <xdr:sp macro="" textlink="">
        <xdr:nvSpPr>
          <xdr:cNvPr id="28" name="Arredondar Retângulo no Mesmo Canto Lateral 27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4</xdr:col>
      <xdr:colOff>573107</xdr:colOff>
      <xdr:row>0</xdr:row>
      <xdr:rowOff>65165</xdr:rowOff>
    </xdr:from>
    <xdr:to>
      <xdr:col>6</xdr:col>
      <xdr:colOff>392444</xdr:colOff>
      <xdr:row>2</xdr:row>
      <xdr:rowOff>89788</xdr:rowOff>
    </xdr:to>
    <xdr:grpSp>
      <xdr:nvGrpSpPr>
        <xdr:cNvPr id="30" name="Agrupar 29"/>
        <xdr:cNvGrpSpPr/>
      </xdr:nvGrpSpPr>
      <xdr:grpSpPr>
        <a:xfrm>
          <a:off x="2209166" y="65165"/>
          <a:ext cx="1197660" cy="416829"/>
          <a:chOff x="1983412" y="82686"/>
          <a:chExt cx="1148929" cy="409678"/>
        </a:xfrm>
      </xdr:grpSpPr>
      <xdr:sp macro="" textlink="">
        <xdr:nvSpPr>
          <xdr:cNvPr id="31" name="Arredondar Retângulo no Mesmo Canto Lateral 30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6</xdr:col>
      <xdr:colOff>397733</xdr:colOff>
      <xdr:row>0</xdr:row>
      <xdr:rowOff>65166</xdr:rowOff>
    </xdr:from>
    <xdr:to>
      <xdr:col>9</xdr:col>
      <xdr:colOff>235009</xdr:colOff>
      <xdr:row>2</xdr:row>
      <xdr:rowOff>89789</xdr:rowOff>
    </xdr:to>
    <xdr:grpSp>
      <xdr:nvGrpSpPr>
        <xdr:cNvPr id="33" name="Agrupar 32"/>
        <xdr:cNvGrpSpPr/>
      </xdr:nvGrpSpPr>
      <xdr:grpSpPr>
        <a:xfrm>
          <a:off x="3412115" y="65166"/>
          <a:ext cx="1282835" cy="416829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34" name="Arredondar Retângulo no Mesmo Canto Lateral 33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9</xdr:col>
      <xdr:colOff>237906</xdr:colOff>
      <xdr:row>0</xdr:row>
      <xdr:rowOff>69411</xdr:rowOff>
    </xdr:from>
    <xdr:to>
      <xdr:col>11</xdr:col>
      <xdr:colOff>36142</xdr:colOff>
      <xdr:row>2</xdr:row>
      <xdr:rowOff>94034</xdr:rowOff>
    </xdr:to>
    <xdr:grpSp>
      <xdr:nvGrpSpPr>
        <xdr:cNvPr id="36" name="Agrupar 35">
          <a:hlinkClick xmlns:r="http://schemas.openxmlformats.org/officeDocument/2006/relationships" r:id="rId5"/>
        </xdr:cNvPr>
        <xdr:cNvGrpSpPr/>
      </xdr:nvGrpSpPr>
      <xdr:grpSpPr>
        <a:xfrm>
          <a:off x="4697847" y="69411"/>
          <a:ext cx="1311030" cy="416829"/>
          <a:chOff x="4459426" y="84964"/>
          <a:chExt cx="1146536" cy="412664"/>
        </a:xfrm>
        <a:solidFill>
          <a:srgbClr val="F8C8F1"/>
        </a:solidFill>
      </xdr:grpSpPr>
      <xdr:sp macro="" textlink="">
        <xdr:nvSpPr>
          <xdr:cNvPr id="37" name="Arredondar Retângulo no Mesmo Canto Lateral 36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hlinkClick xmlns:r="http://schemas.openxmlformats.org/officeDocument/2006/relationships" r:id="rId6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11</xdr:col>
      <xdr:colOff>44180</xdr:colOff>
      <xdr:row>0</xdr:row>
      <xdr:rowOff>65973</xdr:rowOff>
    </xdr:from>
    <xdr:to>
      <xdr:col>12</xdr:col>
      <xdr:colOff>571384</xdr:colOff>
      <xdr:row>2</xdr:row>
      <xdr:rowOff>90596</xdr:rowOff>
    </xdr:to>
    <xdr:grpSp>
      <xdr:nvGrpSpPr>
        <xdr:cNvPr id="39" name="Agrupar 38"/>
        <xdr:cNvGrpSpPr/>
      </xdr:nvGrpSpPr>
      <xdr:grpSpPr>
        <a:xfrm>
          <a:off x="6016915" y="65973"/>
          <a:ext cx="1132322" cy="416829"/>
          <a:chOff x="5574506" y="63117"/>
          <a:chExt cx="1138112" cy="413906"/>
        </a:xfrm>
        <a:solidFill>
          <a:schemeClr val="bg1">
            <a:lumMod val="65000"/>
          </a:schemeClr>
        </a:solidFill>
      </xdr:grpSpPr>
      <xdr:sp macro="" textlink="">
        <xdr:nvSpPr>
          <xdr:cNvPr id="40" name="Arredondar Retângulo no Mesmo Canto Lateral 39"/>
          <xdr:cNvSpPr/>
        </xdr:nvSpPr>
        <xdr:spPr>
          <a:xfrm>
            <a:off x="5574506" y="63117"/>
            <a:ext cx="1138112" cy="413906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hlinkClick xmlns:r="http://schemas.openxmlformats.org/officeDocument/2006/relationships" r:id="rId5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11</xdr:col>
      <xdr:colOff>30084</xdr:colOff>
      <xdr:row>2</xdr:row>
      <xdr:rowOff>116265</xdr:rowOff>
    </xdr:from>
    <xdr:to>
      <xdr:col>12</xdr:col>
      <xdr:colOff>572035</xdr:colOff>
      <xdr:row>5</xdr:row>
      <xdr:rowOff>3286</xdr:rowOff>
    </xdr:to>
    <xdr:grpSp>
      <xdr:nvGrpSpPr>
        <xdr:cNvPr id="42" name="Agrupar 41"/>
        <xdr:cNvGrpSpPr/>
      </xdr:nvGrpSpPr>
      <xdr:grpSpPr>
        <a:xfrm>
          <a:off x="6002819" y="508471"/>
          <a:ext cx="1147069" cy="324050"/>
          <a:chOff x="5580768" y="494030"/>
          <a:chExt cx="1151551" cy="329805"/>
        </a:xfrm>
        <a:solidFill>
          <a:schemeClr val="bg1">
            <a:lumMod val="65000"/>
          </a:schemeClr>
        </a:solidFill>
      </xdr:grpSpPr>
      <xdr:sp macro="" textlink="">
        <xdr:nvSpPr>
          <xdr:cNvPr id="43" name="Retângulo 42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hlinkClick xmlns:r="http://schemas.openxmlformats.org/officeDocument/2006/relationships" r:id="rId7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Geral</a:t>
            </a:r>
          </a:p>
        </xdr:txBody>
      </xdr:sp>
    </xdr:grpSp>
    <xdr:clientData/>
  </xdr:twoCellAnchor>
  <xdr:twoCellAnchor>
    <xdr:from>
      <xdr:col>12</xdr:col>
      <xdr:colOff>576672</xdr:colOff>
      <xdr:row>2</xdr:row>
      <xdr:rowOff>112332</xdr:rowOff>
    </xdr:from>
    <xdr:to>
      <xdr:col>15</xdr:col>
      <xdr:colOff>320680</xdr:colOff>
      <xdr:row>5</xdr:row>
      <xdr:rowOff>1968</xdr:rowOff>
    </xdr:to>
    <xdr:grpSp>
      <xdr:nvGrpSpPr>
        <xdr:cNvPr id="45" name="Agrupar 44"/>
        <xdr:cNvGrpSpPr/>
      </xdr:nvGrpSpPr>
      <xdr:grpSpPr>
        <a:xfrm>
          <a:off x="7154525" y="504538"/>
          <a:ext cx="1111126" cy="326665"/>
          <a:chOff x="5580768" y="494030"/>
          <a:chExt cx="1151551" cy="329805"/>
        </a:xfrm>
      </xdr:grpSpPr>
      <xdr:sp macro="" textlink="">
        <xdr:nvSpPr>
          <xdr:cNvPr id="46" name="Retângulo 45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CaixaDeTexto 46">
            <a:hlinkClick xmlns:r="http://schemas.openxmlformats.org/officeDocument/2006/relationships" r:id="rId8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67655</xdr:colOff>
      <xdr:row>0</xdr:row>
      <xdr:rowOff>44620</xdr:rowOff>
    </xdr:from>
    <xdr:to>
      <xdr:col>1</xdr:col>
      <xdr:colOff>521011</xdr:colOff>
      <xdr:row>1</xdr:row>
      <xdr:rowOff>152400</xdr:rowOff>
    </xdr:to>
    <xdr:pic macro="[0]!SALVAR_DADOS"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5" y="44620"/>
          <a:ext cx="681956" cy="307805"/>
        </a:xfrm>
        <a:prstGeom prst="rect">
          <a:avLst/>
        </a:prstGeom>
      </xdr:spPr>
    </xdr:pic>
    <xdr:clientData/>
  </xdr:twoCellAnchor>
  <xdr:twoCellAnchor>
    <xdr:from>
      <xdr:col>2</xdr:col>
      <xdr:colOff>35188</xdr:colOff>
      <xdr:row>0</xdr:row>
      <xdr:rowOff>89855</xdr:rowOff>
    </xdr:from>
    <xdr:to>
      <xdr:col>3</xdr:col>
      <xdr:colOff>561382</xdr:colOff>
      <xdr:row>2</xdr:row>
      <xdr:rowOff>106508</xdr:rowOff>
    </xdr:to>
    <xdr:grpSp>
      <xdr:nvGrpSpPr>
        <xdr:cNvPr id="29" name="Agrupar 28"/>
        <xdr:cNvGrpSpPr/>
      </xdr:nvGrpSpPr>
      <xdr:grpSpPr>
        <a:xfrm>
          <a:off x="841150" y="89855"/>
          <a:ext cx="1105020" cy="404980"/>
          <a:chOff x="1002186" y="95249"/>
          <a:chExt cx="1138855" cy="416193"/>
        </a:xfrm>
      </xdr:grpSpPr>
      <xdr:sp macro="" textlink="">
        <xdr:nvSpPr>
          <xdr:cNvPr id="30" name="Arredondar Retângulo no Mesmo Canto Lateral 29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558301</xdr:colOff>
      <xdr:row>0</xdr:row>
      <xdr:rowOff>87474</xdr:rowOff>
    </xdr:from>
    <xdr:to>
      <xdr:col>5</xdr:col>
      <xdr:colOff>486495</xdr:colOff>
      <xdr:row>2</xdr:row>
      <xdr:rowOff>104127</xdr:rowOff>
    </xdr:to>
    <xdr:grpSp>
      <xdr:nvGrpSpPr>
        <xdr:cNvPr id="32" name="Agrupar 31"/>
        <xdr:cNvGrpSpPr/>
      </xdr:nvGrpSpPr>
      <xdr:grpSpPr>
        <a:xfrm>
          <a:off x="1943089" y="87474"/>
          <a:ext cx="1085848" cy="404980"/>
          <a:chOff x="1983412" y="82686"/>
          <a:chExt cx="1148929" cy="409678"/>
        </a:xfrm>
      </xdr:grpSpPr>
      <xdr:sp macro="" textlink="">
        <xdr:nvSpPr>
          <xdr:cNvPr id="33" name="Arredondar Retângulo no Mesmo Canto Lateral 32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5</xdr:col>
      <xdr:colOff>491784</xdr:colOff>
      <xdr:row>0</xdr:row>
      <xdr:rowOff>87475</xdr:rowOff>
    </xdr:from>
    <xdr:to>
      <xdr:col>7</xdr:col>
      <xdr:colOff>476017</xdr:colOff>
      <xdr:row>2</xdr:row>
      <xdr:rowOff>104128</xdr:rowOff>
    </xdr:to>
    <xdr:grpSp>
      <xdr:nvGrpSpPr>
        <xdr:cNvPr id="35" name="Agrupar 34"/>
        <xdr:cNvGrpSpPr/>
      </xdr:nvGrpSpPr>
      <xdr:grpSpPr>
        <a:xfrm>
          <a:off x="3034226" y="87475"/>
          <a:ext cx="1141887" cy="404980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36" name="Arredondar Retângulo no Mesmo Canto Lateral 35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7</xdr:col>
      <xdr:colOff>478914</xdr:colOff>
      <xdr:row>0</xdr:row>
      <xdr:rowOff>91720</xdr:rowOff>
    </xdr:from>
    <xdr:to>
      <xdr:col>9</xdr:col>
      <xdr:colOff>395532</xdr:colOff>
      <xdr:row>2</xdr:row>
      <xdr:rowOff>108373</xdr:rowOff>
    </xdr:to>
    <xdr:grpSp>
      <xdr:nvGrpSpPr>
        <xdr:cNvPr id="38" name="Agrupar 37">
          <a:hlinkClick xmlns:r="http://schemas.openxmlformats.org/officeDocument/2006/relationships" r:id="rId5"/>
        </xdr:cNvPr>
        <xdr:cNvGrpSpPr/>
      </xdr:nvGrpSpPr>
      <xdr:grpSpPr>
        <a:xfrm>
          <a:off x="4179010" y="91720"/>
          <a:ext cx="1074272" cy="404980"/>
          <a:chOff x="4459426" y="84964"/>
          <a:chExt cx="1146536" cy="412664"/>
        </a:xfrm>
        <a:solidFill>
          <a:srgbClr val="F8C8F1"/>
        </a:solidFill>
      </xdr:grpSpPr>
      <xdr:sp macro="" textlink="">
        <xdr:nvSpPr>
          <xdr:cNvPr id="39" name="Arredondar Retângulo no Mesmo Canto Lateral 38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hlinkClick xmlns:r="http://schemas.openxmlformats.org/officeDocument/2006/relationships" r:id="rId6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9</xdr:col>
      <xdr:colOff>403570</xdr:colOff>
      <xdr:row>0</xdr:row>
      <xdr:rowOff>88282</xdr:rowOff>
    </xdr:from>
    <xdr:to>
      <xdr:col>11</xdr:col>
      <xdr:colOff>315731</xdr:colOff>
      <xdr:row>2</xdr:row>
      <xdr:rowOff>104935</xdr:rowOff>
    </xdr:to>
    <xdr:grpSp>
      <xdr:nvGrpSpPr>
        <xdr:cNvPr id="41" name="Agrupar 40"/>
        <xdr:cNvGrpSpPr/>
      </xdr:nvGrpSpPr>
      <xdr:grpSpPr>
        <a:xfrm>
          <a:off x="5261320" y="88282"/>
          <a:ext cx="1069815" cy="404980"/>
          <a:chOff x="5574506" y="63117"/>
          <a:chExt cx="1138112" cy="413906"/>
        </a:xfrm>
        <a:solidFill>
          <a:schemeClr val="bg1">
            <a:lumMod val="65000"/>
          </a:schemeClr>
        </a:solidFill>
      </xdr:grpSpPr>
      <xdr:sp macro="" textlink="">
        <xdr:nvSpPr>
          <xdr:cNvPr id="42" name="Arredondar Retângulo no Mesmo Canto Lateral 41"/>
          <xdr:cNvSpPr/>
        </xdr:nvSpPr>
        <xdr:spPr>
          <a:xfrm>
            <a:off x="5574506" y="63117"/>
            <a:ext cx="1138112" cy="413906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CaixaDeTexto 42">
            <a:hlinkClick xmlns:r="http://schemas.openxmlformats.org/officeDocument/2006/relationships" r:id="rId5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9</xdr:col>
      <xdr:colOff>389474</xdr:colOff>
      <xdr:row>2</xdr:row>
      <xdr:rowOff>118248</xdr:rowOff>
    </xdr:from>
    <xdr:to>
      <xdr:col>11</xdr:col>
      <xdr:colOff>316382</xdr:colOff>
      <xdr:row>4</xdr:row>
      <xdr:rowOff>184557</xdr:rowOff>
    </xdr:to>
    <xdr:grpSp>
      <xdr:nvGrpSpPr>
        <xdr:cNvPr id="44" name="Agrupar 43"/>
        <xdr:cNvGrpSpPr/>
      </xdr:nvGrpSpPr>
      <xdr:grpSpPr>
        <a:xfrm>
          <a:off x="5247224" y="506575"/>
          <a:ext cx="1084562" cy="315424"/>
          <a:chOff x="5580768" y="494030"/>
          <a:chExt cx="1151551" cy="329805"/>
        </a:xfrm>
        <a:solidFill>
          <a:srgbClr val="F8C8F1"/>
        </a:solidFill>
      </xdr:grpSpPr>
      <xdr:sp macro="" textlink="">
        <xdr:nvSpPr>
          <xdr:cNvPr id="45" name="Retângulo 44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CaixaDeTexto 45">
            <a:hlinkClick xmlns:r="http://schemas.openxmlformats.org/officeDocument/2006/relationships" r:id="rId7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Geral</a:t>
            </a:r>
          </a:p>
        </xdr:txBody>
      </xdr:sp>
    </xdr:grpSp>
    <xdr:clientData/>
  </xdr:twoCellAnchor>
  <xdr:twoCellAnchor>
    <xdr:from>
      <xdr:col>11</xdr:col>
      <xdr:colOff>321019</xdr:colOff>
      <xdr:row>2</xdr:row>
      <xdr:rowOff>116952</xdr:rowOff>
    </xdr:from>
    <xdr:to>
      <xdr:col>13</xdr:col>
      <xdr:colOff>243281</xdr:colOff>
      <xdr:row>5</xdr:row>
      <xdr:rowOff>1534</xdr:rowOff>
    </xdr:to>
    <xdr:grpSp>
      <xdr:nvGrpSpPr>
        <xdr:cNvPr id="47" name="Agrupar 46"/>
        <xdr:cNvGrpSpPr/>
      </xdr:nvGrpSpPr>
      <xdr:grpSpPr>
        <a:xfrm>
          <a:off x="6336423" y="505279"/>
          <a:ext cx="1079916" cy="324197"/>
          <a:chOff x="5580768" y="494030"/>
          <a:chExt cx="1151551" cy="329805"/>
        </a:xfrm>
        <a:solidFill>
          <a:schemeClr val="bg1">
            <a:lumMod val="65000"/>
          </a:schemeClr>
        </a:solidFill>
      </xdr:grpSpPr>
      <xdr:sp macro="" textlink="">
        <xdr:nvSpPr>
          <xdr:cNvPr id="48" name="Retângulo 47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8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0</xdr:col>
      <xdr:colOff>9524</xdr:colOff>
      <xdr:row>2</xdr:row>
      <xdr:rowOff>104775</xdr:rowOff>
    </xdr:from>
    <xdr:to>
      <xdr:col>5</xdr:col>
      <xdr:colOff>152399</xdr:colOff>
      <xdr:row>5</xdr:row>
      <xdr:rowOff>20363</xdr:rowOff>
    </xdr:to>
    <xdr:sp macro="" textlink="">
      <xdr:nvSpPr>
        <xdr:cNvPr id="50" name="CaixaDeTexto 49"/>
        <xdr:cNvSpPr txBox="1"/>
      </xdr:nvSpPr>
      <xdr:spPr>
        <a:xfrm>
          <a:off x="9524" y="495300"/>
          <a:ext cx="2809875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Relatório Cesta Montadas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7</xdr:col>
      <xdr:colOff>85725</xdr:colOff>
      <xdr:row>5</xdr:row>
      <xdr:rowOff>39414</xdr:rowOff>
    </xdr:to>
    <xdr:sp macro="" textlink="">
      <xdr:nvSpPr>
        <xdr:cNvPr id="2" name="CaixaDeTexto 1"/>
        <xdr:cNvSpPr txBox="1"/>
      </xdr:nvSpPr>
      <xdr:spPr>
        <a:xfrm>
          <a:off x="1" y="514351"/>
          <a:ext cx="4352924" cy="353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Gerenciamento de Estoque Cesta Básica</a:t>
          </a:r>
        </a:p>
      </xdr:txBody>
    </xdr:sp>
    <xdr:clientData/>
  </xdr:twoCellAnchor>
  <xdr:oneCellAnchor>
    <xdr:from>
      <xdr:col>0</xdr:col>
      <xdr:colOff>104775</xdr:colOff>
      <xdr:row>0</xdr:row>
      <xdr:rowOff>52638</xdr:rowOff>
    </xdr:from>
    <xdr:ext cx="613999" cy="277813"/>
    <xdr:pic macro="[0]!SALVAR_DADOS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2638"/>
          <a:ext cx="613999" cy="277813"/>
        </a:xfrm>
        <a:prstGeom prst="rect">
          <a:avLst/>
        </a:prstGeom>
      </xdr:spPr>
    </xdr:pic>
    <xdr:clientData/>
  </xdr:oneCellAnchor>
  <xdr:twoCellAnchor>
    <xdr:from>
      <xdr:col>1</xdr:col>
      <xdr:colOff>630291</xdr:colOff>
      <xdr:row>0</xdr:row>
      <xdr:rowOff>75914</xdr:rowOff>
    </xdr:from>
    <xdr:to>
      <xdr:col>1</xdr:col>
      <xdr:colOff>1778088</xdr:colOff>
      <xdr:row>2</xdr:row>
      <xdr:rowOff>98053</xdr:rowOff>
    </xdr:to>
    <xdr:grpSp>
      <xdr:nvGrpSpPr>
        <xdr:cNvPr id="5" name="Agrupar 4"/>
        <xdr:cNvGrpSpPr/>
      </xdr:nvGrpSpPr>
      <xdr:grpSpPr>
        <a:xfrm>
          <a:off x="849366" y="75914"/>
          <a:ext cx="1147797" cy="412664"/>
          <a:chOff x="1002186" y="95249"/>
          <a:chExt cx="1138855" cy="416193"/>
        </a:xfrm>
      </xdr:grpSpPr>
      <xdr:sp macro="" textlink="">
        <xdr:nvSpPr>
          <xdr:cNvPr id="6" name="Arredondar Retângulo no Mesmo Canto Lateral 5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1</xdr:col>
      <xdr:colOff>1784532</xdr:colOff>
      <xdr:row>0</xdr:row>
      <xdr:rowOff>73533</xdr:rowOff>
    </xdr:from>
    <xdr:to>
      <xdr:col>3</xdr:col>
      <xdr:colOff>13608</xdr:colOff>
      <xdr:row>2</xdr:row>
      <xdr:rowOff>95672</xdr:rowOff>
    </xdr:to>
    <xdr:grpSp>
      <xdr:nvGrpSpPr>
        <xdr:cNvPr id="8" name="Agrupar 7"/>
        <xdr:cNvGrpSpPr/>
      </xdr:nvGrpSpPr>
      <xdr:grpSpPr>
        <a:xfrm>
          <a:off x="2003607" y="73533"/>
          <a:ext cx="1153251" cy="412664"/>
          <a:chOff x="1983412" y="82686"/>
          <a:chExt cx="1148929" cy="409678"/>
        </a:xfrm>
      </xdr:grpSpPr>
      <xdr:sp macro="" textlink="">
        <xdr:nvSpPr>
          <xdr:cNvPr id="9" name="Arredondar Retângulo no Mesmo Canto Lateral 8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3</xdr:col>
      <xdr:colOff>18897</xdr:colOff>
      <xdr:row>0</xdr:row>
      <xdr:rowOff>73534</xdr:rowOff>
    </xdr:from>
    <xdr:to>
      <xdr:col>4</xdr:col>
      <xdr:colOff>464574</xdr:colOff>
      <xdr:row>2</xdr:row>
      <xdr:rowOff>95673</xdr:rowOff>
    </xdr:to>
    <xdr:grpSp>
      <xdr:nvGrpSpPr>
        <xdr:cNvPr id="11" name="Agrupar 10"/>
        <xdr:cNvGrpSpPr/>
      </xdr:nvGrpSpPr>
      <xdr:grpSpPr>
        <a:xfrm>
          <a:off x="3162147" y="73534"/>
          <a:ext cx="1207677" cy="412664"/>
          <a:chOff x="3239327" y="80719"/>
          <a:chExt cx="1206849" cy="411422"/>
        </a:xfrm>
      </xdr:grpSpPr>
      <xdr:sp macro="" textlink="">
        <xdr:nvSpPr>
          <xdr:cNvPr id="12" name="Arredondar Retângulo no Mesmo Canto Lateral 11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4</xdr:col>
      <xdr:colOff>476996</xdr:colOff>
      <xdr:row>0</xdr:row>
      <xdr:rowOff>77779</xdr:rowOff>
    </xdr:from>
    <xdr:to>
      <xdr:col>6</xdr:col>
      <xdr:colOff>42382</xdr:colOff>
      <xdr:row>2</xdr:row>
      <xdr:rowOff>99918</xdr:rowOff>
    </xdr:to>
    <xdr:grpSp>
      <xdr:nvGrpSpPr>
        <xdr:cNvPr id="14" name="Agrupar 13"/>
        <xdr:cNvGrpSpPr/>
      </xdr:nvGrpSpPr>
      <xdr:grpSpPr>
        <a:xfrm>
          <a:off x="4382246" y="77779"/>
          <a:ext cx="1146536" cy="412664"/>
          <a:chOff x="4459426" y="84964"/>
          <a:chExt cx="1146536" cy="412664"/>
        </a:xfrm>
      </xdr:grpSpPr>
      <xdr:sp macro="" textlink="">
        <xdr:nvSpPr>
          <xdr:cNvPr id="15" name="Arredondar Retângulo no Mesmo Canto Lateral 14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</xdr:cNvPr>
          <xdr:cNvSpPr txBox="1"/>
        </xdr:nvSpPr>
        <xdr:spPr>
          <a:xfrm>
            <a:off x="448514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6</xdr:col>
      <xdr:colOff>50420</xdr:colOff>
      <xdr:row>0</xdr:row>
      <xdr:rowOff>74341</xdr:rowOff>
    </xdr:from>
    <xdr:to>
      <xdr:col>7</xdr:col>
      <xdr:colOff>373938</xdr:colOff>
      <xdr:row>2</xdr:row>
      <xdr:rowOff>96480</xdr:rowOff>
    </xdr:to>
    <xdr:grpSp>
      <xdr:nvGrpSpPr>
        <xdr:cNvPr id="17" name="Agrupar 16"/>
        <xdr:cNvGrpSpPr/>
      </xdr:nvGrpSpPr>
      <xdr:grpSpPr>
        <a:xfrm>
          <a:off x="5536820" y="74341"/>
          <a:ext cx="1142668" cy="412664"/>
          <a:chOff x="5614000" y="81526"/>
          <a:chExt cx="1142668" cy="412664"/>
        </a:xfrm>
      </xdr:grpSpPr>
      <xdr:sp macro="" textlink="">
        <xdr:nvSpPr>
          <xdr:cNvPr id="18" name="Arredondar Retângulo no Mesmo Canto Lateral 17">
            <a:hlinkClick xmlns:r="http://schemas.openxmlformats.org/officeDocument/2006/relationships" r:id="rId6"/>
          </xdr:cNvPr>
          <xdr:cNvSpPr/>
        </xdr:nvSpPr>
        <xdr:spPr>
          <a:xfrm>
            <a:off x="5614000" y="81526"/>
            <a:ext cx="1142668" cy="412664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hlinkClick xmlns:r="http://schemas.openxmlformats.org/officeDocument/2006/relationships" r:id="rId6"/>
          </xdr:cNvPr>
          <xdr:cNvSpPr txBox="1"/>
        </xdr:nvSpPr>
        <xdr:spPr>
          <a:xfrm>
            <a:off x="5634379" y="183425"/>
            <a:ext cx="1099317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6</xdr:col>
      <xdr:colOff>48541</xdr:colOff>
      <xdr:row>2</xdr:row>
      <xdr:rowOff>101621</xdr:rowOff>
    </xdr:from>
    <xdr:to>
      <xdr:col>7</xdr:col>
      <xdr:colOff>355542</xdr:colOff>
      <xdr:row>4</xdr:row>
      <xdr:rowOff>183776</xdr:rowOff>
    </xdr:to>
    <xdr:grpSp>
      <xdr:nvGrpSpPr>
        <xdr:cNvPr id="20" name="Agrupar 19"/>
        <xdr:cNvGrpSpPr/>
      </xdr:nvGrpSpPr>
      <xdr:grpSpPr>
        <a:xfrm>
          <a:off x="5534941" y="492146"/>
          <a:ext cx="1126151" cy="329805"/>
          <a:chOff x="5580768" y="494030"/>
          <a:chExt cx="1151551" cy="329805"/>
        </a:xfrm>
      </xdr:grpSpPr>
      <xdr:sp macro="" textlink="">
        <xdr:nvSpPr>
          <xdr:cNvPr id="21" name="Retângulo 20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hlinkClick xmlns:r="http://schemas.openxmlformats.org/officeDocument/2006/relationships" r:id="rId7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 Montadas</a:t>
            </a:r>
          </a:p>
        </xdr:txBody>
      </xdr:sp>
    </xdr:grpSp>
    <xdr:clientData/>
  </xdr:twoCellAnchor>
  <xdr:twoCellAnchor>
    <xdr:from>
      <xdr:col>4</xdr:col>
      <xdr:colOff>462570</xdr:colOff>
      <xdr:row>2</xdr:row>
      <xdr:rowOff>100765</xdr:rowOff>
    </xdr:from>
    <xdr:to>
      <xdr:col>6</xdr:col>
      <xdr:colOff>39898</xdr:colOff>
      <xdr:row>4</xdr:row>
      <xdr:rowOff>184250</xdr:rowOff>
    </xdr:to>
    <xdr:grpSp>
      <xdr:nvGrpSpPr>
        <xdr:cNvPr id="23" name="Agrupar 22">
          <a:hlinkClick xmlns:r="http://schemas.openxmlformats.org/officeDocument/2006/relationships" r:id="rId8"/>
        </xdr:cNvPr>
        <xdr:cNvGrpSpPr/>
      </xdr:nvGrpSpPr>
      <xdr:grpSpPr>
        <a:xfrm>
          <a:off x="4367820" y="491290"/>
          <a:ext cx="1158478" cy="331135"/>
          <a:chOff x="4423172" y="493174"/>
          <a:chExt cx="1148953" cy="329805"/>
        </a:xfrm>
        <a:solidFill>
          <a:srgbClr val="F8C8F1"/>
        </a:solidFill>
      </xdr:grpSpPr>
      <xdr:sp macro="" textlink="">
        <xdr:nvSpPr>
          <xdr:cNvPr id="24" name="Retângulo 23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7</xdr:col>
      <xdr:colOff>218096</xdr:colOff>
      <xdr:row>2</xdr:row>
      <xdr:rowOff>108050</xdr:rowOff>
    </xdr:from>
    <xdr:to>
      <xdr:col>9</xdr:col>
      <xdr:colOff>93432</xdr:colOff>
      <xdr:row>4</xdr:row>
      <xdr:rowOff>185723</xdr:rowOff>
    </xdr:to>
    <xdr:grpSp>
      <xdr:nvGrpSpPr>
        <xdr:cNvPr id="26" name="Agrupar 25"/>
        <xdr:cNvGrpSpPr/>
      </xdr:nvGrpSpPr>
      <xdr:grpSpPr>
        <a:xfrm>
          <a:off x="6523646" y="498575"/>
          <a:ext cx="1342186" cy="325323"/>
          <a:chOff x="6875224" y="496902"/>
          <a:chExt cx="1297597" cy="312623"/>
        </a:xfrm>
        <a:solidFill>
          <a:srgbClr val="F8C8F1"/>
        </a:solidFill>
      </xdr:grpSpPr>
      <xdr:sp macro="" textlink="">
        <xdr:nvSpPr>
          <xdr:cNvPr id="27" name="Retângulo 26"/>
          <xdr:cNvSpPr/>
        </xdr:nvSpPr>
        <xdr:spPr>
          <a:xfrm>
            <a:off x="6941887" y="496902"/>
            <a:ext cx="1176203" cy="312623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hlinkClick xmlns:r="http://schemas.openxmlformats.org/officeDocument/2006/relationships" r:id="rId9"/>
          </xdr:cNvPr>
          <xdr:cNvSpPr txBox="1"/>
        </xdr:nvSpPr>
        <xdr:spPr>
          <a:xfrm>
            <a:off x="6875224" y="534119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Separação de Cestas</a:t>
            </a:r>
          </a:p>
        </xdr:txBody>
      </xdr:sp>
    </xdr:grpSp>
    <xdr:clientData/>
  </xdr:twoCellAnchor>
  <xdr:twoCellAnchor>
    <xdr:from>
      <xdr:col>9</xdr:col>
      <xdr:colOff>49947</xdr:colOff>
      <xdr:row>2</xdr:row>
      <xdr:rowOff>108050</xdr:rowOff>
    </xdr:from>
    <xdr:to>
      <xdr:col>10</xdr:col>
      <xdr:colOff>451450</xdr:colOff>
      <xdr:row>4</xdr:row>
      <xdr:rowOff>185723</xdr:rowOff>
    </xdr:to>
    <xdr:grpSp>
      <xdr:nvGrpSpPr>
        <xdr:cNvPr id="29" name="Agrupar 28"/>
        <xdr:cNvGrpSpPr/>
      </xdr:nvGrpSpPr>
      <xdr:grpSpPr>
        <a:xfrm>
          <a:off x="7822347" y="498575"/>
          <a:ext cx="1134928" cy="325323"/>
          <a:chOff x="8235005" y="496049"/>
          <a:chExt cx="1176203" cy="312623"/>
        </a:xfrm>
        <a:solidFill>
          <a:schemeClr val="bg1">
            <a:lumMod val="65000"/>
          </a:schemeClr>
        </a:solidFill>
      </xdr:grpSpPr>
      <xdr:sp macro="" textlink="">
        <xdr:nvSpPr>
          <xdr:cNvPr id="30" name="Retângulo 29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10"/>
          </xdr:cNvPr>
          <xdr:cNvSpPr txBox="1"/>
        </xdr:nvSpPr>
        <xdr:spPr>
          <a:xfrm>
            <a:off x="8314253" y="539564"/>
            <a:ext cx="1041400" cy="2540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10</xdr:col>
      <xdr:colOff>421294</xdr:colOff>
      <xdr:row>2</xdr:row>
      <xdr:rowOff>107115</xdr:rowOff>
    </xdr:from>
    <xdr:to>
      <xdr:col>12</xdr:col>
      <xdr:colOff>360969</xdr:colOff>
      <xdr:row>4</xdr:row>
      <xdr:rowOff>184788</xdr:rowOff>
    </xdr:to>
    <xdr:grpSp>
      <xdr:nvGrpSpPr>
        <xdr:cNvPr id="32" name="Agrupar 31">
          <a:hlinkClick xmlns:r="http://schemas.openxmlformats.org/officeDocument/2006/relationships" r:id="rId11"/>
        </xdr:cNvPr>
        <xdr:cNvGrpSpPr/>
      </xdr:nvGrpSpPr>
      <xdr:grpSpPr>
        <a:xfrm>
          <a:off x="8927119" y="497640"/>
          <a:ext cx="1406525" cy="325323"/>
          <a:chOff x="9004299" y="504825"/>
          <a:chExt cx="1406525" cy="325323"/>
        </a:xfrm>
      </xdr:grpSpPr>
      <xdr:sp macro="" textlink="">
        <xdr:nvSpPr>
          <xdr:cNvPr id="33" name="Retângulo 32"/>
          <xdr:cNvSpPr/>
        </xdr:nvSpPr>
        <xdr:spPr>
          <a:xfrm>
            <a:off x="9038197" y="504825"/>
            <a:ext cx="1220228" cy="3253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/>
          <xdr:cNvSpPr txBox="1"/>
        </xdr:nvSpPr>
        <xdr:spPr>
          <a:xfrm>
            <a:off x="9004299" y="556770"/>
            <a:ext cx="1406525" cy="1904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Abastecimento Posto</a:t>
            </a:r>
            <a:endParaRPr lang="pt-BR" sz="1000">
              <a:effectLst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89647</xdr:colOff>
      <xdr:row>0</xdr:row>
      <xdr:rowOff>81114</xdr:rowOff>
    </xdr:from>
    <xdr:ext cx="613999" cy="277813"/>
    <xdr:pic macro="[0]!SALVAR_DADOS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47" y="81114"/>
          <a:ext cx="613999" cy="277813"/>
        </a:xfrm>
        <a:prstGeom prst="rect">
          <a:avLst/>
        </a:prstGeom>
      </xdr:spPr>
    </xdr:pic>
    <xdr:clientData/>
  </xdr:one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3" name="CaixaDeTexto 2"/>
        <xdr:cNvSpPr txBox="1"/>
      </xdr:nvSpPr>
      <xdr:spPr>
        <a:xfrm>
          <a:off x="1" y="571501"/>
          <a:ext cx="3087412" cy="420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Separação de Cestas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</xdr:col>
      <xdr:colOff>668572</xdr:colOff>
      <xdr:row>0</xdr:row>
      <xdr:rowOff>80822</xdr:rowOff>
    </xdr:from>
    <xdr:to>
      <xdr:col>3</xdr:col>
      <xdr:colOff>191687</xdr:colOff>
      <xdr:row>2</xdr:row>
      <xdr:rowOff>97479</xdr:rowOff>
    </xdr:to>
    <xdr:grpSp>
      <xdr:nvGrpSpPr>
        <xdr:cNvPr id="4" name="Agrupar 3"/>
        <xdr:cNvGrpSpPr/>
      </xdr:nvGrpSpPr>
      <xdr:grpSpPr>
        <a:xfrm>
          <a:off x="859072" y="80822"/>
          <a:ext cx="1136762" cy="408863"/>
          <a:chOff x="1002186" y="95249"/>
          <a:chExt cx="1138855" cy="416193"/>
        </a:xfrm>
      </xdr:grpSpPr>
      <xdr:sp macro="" textlink="">
        <xdr:nvSpPr>
          <xdr:cNvPr id="5" name="Arredondar Retângulo no Mesmo Canto Lateral 4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188606</xdr:colOff>
      <xdr:row>0</xdr:row>
      <xdr:rowOff>78441</xdr:rowOff>
    </xdr:from>
    <xdr:to>
      <xdr:col>5</xdr:col>
      <xdr:colOff>279125</xdr:colOff>
      <xdr:row>2</xdr:row>
      <xdr:rowOff>95098</xdr:rowOff>
    </xdr:to>
    <xdr:grpSp>
      <xdr:nvGrpSpPr>
        <xdr:cNvPr id="7" name="Agrupar 6"/>
        <xdr:cNvGrpSpPr/>
      </xdr:nvGrpSpPr>
      <xdr:grpSpPr>
        <a:xfrm>
          <a:off x="1992753" y="78441"/>
          <a:ext cx="1143872" cy="408863"/>
          <a:chOff x="1983412" y="82686"/>
          <a:chExt cx="1148929" cy="409678"/>
        </a:xfrm>
      </xdr:grpSpPr>
      <xdr:sp macro="" textlink="">
        <xdr:nvSpPr>
          <xdr:cNvPr id="8" name="Arredondar Retângulo no Mesmo Canto Lateral 7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5</xdr:col>
      <xdr:colOff>284414</xdr:colOff>
      <xdr:row>0</xdr:row>
      <xdr:rowOff>78442</xdr:rowOff>
    </xdr:from>
    <xdr:to>
      <xdr:col>6</xdr:col>
      <xdr:colOff>687509</xdr:colOff>
      <xdr:row>2</xdr:row>
      <xdr:rowOff>95099</xdr:rowOff>
    </xdr:to>
    <xdr:grpSp>
      <xdr:nvGrpSpPr>
        <xdr:cNvPr id="10" name="Agrupar 9"/>
        <xdr:cNvGrpSpPr/>
      </xdr:nvGrpSpPr>
      <xdr:grpSpPr>
        <a:xfrm>
          <a:off x="3141914" y="78442"/>
          <a:ext cx="1198713" cy="408863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11" name="Arredondar Retângulo no Mesmo Canto Lateral 10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hlinkClick xmlns:r="http://schemas.openxmlformats.org/officeDocument/2006/relationships" r:id="rId4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6</xdr:col>
      <xdr:colOff>690406</xdr:colOff>
      <xdr:row>0</xdr:row>
      <xdr:rowOff>82687</xdr:rowOff>
    </xdr:from>
    <xdr:to>
      <xdr:col>9</xdr:col>
      <xdr:colOff>1419</xdr:colOff>
      <xdr:row>2</xdr:row>
      <xdr:rowOff>99344</xdr:rowOff>
    </xdr:to>
    <xdr:grpSp>
      <xdr:nvGrpSpPr>
        <xdr:cNvPr id="13" name="Agrupar 12"/>
        <xdr:cNvGrpSpPr/>
      </xdr:nvGrpSpPr>
      <xdr:grpSpPr>
        <a:xfrm>
          <a:off x="4343524" y="82687"/>
          <a:ext cx="1137571" cy="408863"/>
          <a:chOff x="4459426" y="84964"/>
          <a:chExt cx="1146536" cy="412664"/>
        </a:xfrm>
        <a:solidFill>
          <a:schemeClr val="bg1">
            <a:lumMod val="65000"/>
          </a:schemeClr>
        </a:solidFill>
      </xdr:grpSpPr>
      <xdr:sp macro="" textlink="">
        <xdr:nvSpPr>
          <xdr:cNvPr id="14" name="Arredondar Retângulo no Mesmo Canto Lateral 13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hlinkClick xmlns:r="http://schemas.openxmlformats.org/officeDocument/2006/relationships" r:id="rId5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9</xdr:col>
      <xdr:colOff>9457</xdr:colOff>
      <xdr:row>0</xdr:row>
      <xdr:rowOff>79249</xdr:rowOff>
    </xdr:from>
    <xdr:to>
      <xdr:col>10</xdr:col>
      <xdr:colOff>298162</xdr:colOff>
      <xdr:row>2</xdr:row>
      <xdr:rowOff>95906</xdr:rowOff>
    </xdr:to>
    <xdr:grpSp>
      <xdr:nvGrpSpPr>
        <xdr:cNvPr id="16" name="Agrupar 15"/>
        <xdr:cNvGrpSpPr/>
      </xdr:nvGrpSpPr>
      <xdr:grpSpPr>
        <a:xfrm>
          <a:off x="5489133" y="79249"/>
          <a:ext cx="1129147" cy="408863"/>
          <a:chOff x="5584031" y="63117"/>
          <a:chExt cx="1138112" cy="413906"/>
        </a:xfrm>
      </xdr:grpSpPr>
      <xdr:sp macro="" textlink="">
        <xdr:nvSpPr>
          <xdr:cNvPr id="17" name="Arredondar Retângulo no Mesmo Canto Lateral 16"/>
          <xdr:cNvSpPr/>
        </xdr:nvSpPr>
        <xdr:spPr>
          <a:xfrm>
            <a:off x="5584031" y="63117"/>
            <a:ext cx="1138112" cy="41390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hlinkClick xmlns:r="http://schemas.openxmlformats.org/officeDocument/2006/relationships" r:id="rId6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9</xdr:col>
      <xdr:colOff>6194</xdr:colOff>
      <xdr:row>2</xdr:row>
      <xdr:rowOff>112914</xdr:rowOff>
    </xdr:from>
    <xdr:to>
      <xdr:col>10</xdr:col>
      <xdr:colOff>308338</xdr:colOff>
      <xdr:row>4</xdr:row>
      <xdr:rowOff>186478</xdr:rowOff>
    </xdr:to>
    <xdr:sp macro="" textlink="">
      <xdr:nvSpPr>
        <xdr:cNvPr id="20" name="Retângulo 19"/>
        <xdr:cNvSpPr/>
      </xdr:nvSpPr>
      <xdr:spPr>
        <a:xfrm>
          <a:off x="5751076" y="493914"/>
          <a:ext cx="1176203" cy="312623"/>
        </a:xfrm>
        <a:prstGeom prst="rect">
          <a:avLst/>
        </a:prstGeom>
        <a:solidFill>
          <a:srgbClr val="F8C8F1"/>
        </a:solidFill>
        <a:ln>
          <a:solidFill>
            <a:srgbClr val="F8C8F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29182</xdr:colOff>
      <xdr:row>3</xdr:row>
      <xdr:rowOff>45542</xdr:rowOff>
    </xdr:from>
    <xdr:to>
      <xdr:col>10</xdr:col>
      <xdr:colOff>284656</xdr:colOff>
      <xdr:row>4</xdr:row>
      <xdr:rowOff>144695</xdr:rowOff>
    </xdr:to>
    <xdr:sp macro="" textlink="">
      <xdr:nvSpPr>
        <xdr:cNvPr id="21" name="CaixaDeTexto 20">
          <a:hlinkClick xmlns:r="http://schemas.openxmlformats.org/officeDocument/2006/relationships" r:id="rId7"/>
        </xdr:cNvPr>
        <xdr:cNvSpPr txBox="1"/>
      </xdr:nvSpPr>
      <xdr:spPr>
        <a:xfrm>
          <a:off x="5774064" y="546071"/>
          <a:ext cx="1129533" cy="2186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 baseline="0"/>
            <a:t>Cestas Montadas</a:t>
          </a:r>
        </a:p>
      </xdr:txBody>
    </xdr:sp>
    <xdr:clientData/>
  </xdr:twoCellAnchor>
  <xdr:twoCellAnchor>
    <xdr:from>
      <xdr:col>6</xdr:col>
      <xdr:colOff>691592</xdr:colOff>
      <xdr:row>2</xdr:row>
      <xdr:rowOff>112057</xdr:rowOff>
    </xdr:from>
    <xdr:to>
      <xdr:col>8</xdr:col>
      <xdr:colOff>240345</xdr:colOff>
      <xdr:row>5</xdr:row>
      <xdr:rowOff>2801</xdr:rowOff>
    </xdr:to>
    <xdr:grpSp>
      <xdr:nvGrpSpPr>
        <xdr:cNvPr id="22" name="Agrupar 21">
          <a:hlinkClick xmlns:r="http://schemas.openxmlformats.org/officeDocument/2006/relationships" r:id="rId8"/>
        </xdr:cNvPr>
        <xdr:cNvGrpSpPr/>
      </xdr:nvGrpSpPr>
      <xdr:grpSpPr>
        <a:xfrm>
          <a:off x="4344710" y="504263"/>
          <a:ext cx="1139988" cy="327773"/>
          <a:chOff x="4423172" y="493174"/>
          <a:chExt cx="1148953" cy="329805"/>
        </a:xfrm>
        <a:solidFill>
          <a:srgbClr val="F8C8F1"/>
        </a:solidFill>
      </xdr:grpSpPr>
      <xdr:sp macro="" textlink="">
        <xdr:nvSpPr>
          <xdr:cNvPr id="23" name="Retângulo 22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/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15</xdr:col>
      <xdr:colOff>404658</xdr:colOff>
      <xdr:row>6</xdr:row>
      <xdr:rowOff>74707</xdr:rowOff>
    </xdr:from>
    <xdr:to>
      <xdr:col>18</xdr:col>
      <xdr:colOff>74083</xdr:colOff>
      <xdr:row>9</xdr:row>
      <xdr:rowOff>62878</xdr:rowOff>
    </xdr:to>
    <xdr:sp macro="[0]!SEPARACAO_CESTAS" textlink="">
      <xdr:nvSpPr>
        <xdr:cNvPr id="30" name="Retângulo Arredondado 29"/>
        <xdr:cNvSpPr/>
      </xdr:nvSpPr>
      <xdr:spPr>
        <a:xfrm>
          <a:off x="10194241" y="1143624"/>
          <a:ext cx="1532092" cy="676087"/>
        </a:xfrm>
        <a:prstGeom prst="roundRect">
          <a:avLst/>
        </a:prstGeom>
        <a:gradFill flip="none" rotWithShape="1">
          <a:gsLst>
            <a:gs pos="0">
              <a:schemeClr val="accent6">
                <a:lumMod val="50000"/>
                <a:shade val="30000"/>
                <a:satMod val="115000"/>
              </a:schemeClr>
            </a:gs>
            <a:gs pos="50000">
              <a:schemeClr val="accent6">
                <a:lumMod val="50000"/>
                <a:shade val="67500"/>
                <a:satMod val="115000"/>
              </a:schemeClr>
            </a:gs>
            <a:gs pos="100000">
              <a:schemeClr val="accent6">
                <a:lumMod val="50000"/>
                <a:shade val="100000"/>
                <a:satMod val="115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1-Abastecimento Postos</a:t>
          </a:r>
          <a:endParaRPr lang="pt-BR" sz="1400" b="1"/>
        </a:p>
      </xdr:txBody>
    </xdr:sp>
    <xdr:clientData/>
  </xdr:twoCellAnchor>
  <xdr:twoCellAnchor>
    <xdr:from>
      <xdr:col>10</xdr:col>
      <xdr:colOff>246757</xdr:colOff>
      <xdr:row>2</xdr:row>
      <xdr:rowOff>115902</xdr:rowOff>
    </xdr:from>
    <xdr:to>
      <xdr:col>12</xdr:col>
      <xdr:colOff>156881</xdr:colOff>
      <xdr:row>5</xdr:row>
      <xdr:rowOff>2701</xdr:rowOff>
    </xdr:to>
    <xdr:grpSp>
      <xdr:nvGrpSpPr>
        <xdr:cNvPr id="25" name="Agrupar 24"/>
        <xdr:cNvGrpSpPr/>
      </xdr:nvGrpSpPr>
      <xdr:grpSpPr>
        <a:xfrm>
          <a:off x="6566875" y="508108"/>
          <a:ext cx="1501359" cy="323828"/>
          <a:chOff x="6875224" y="496902"/>
          <a:chExt cx="1297597" cy="312623"/>
        </a:xfrm>
      </xdr:grpSpPr>
      <xdr:sp macro="" textlink="">
        <xdr:nvSpPr>
          <xdr:cNvPr id="26" name="Retângulo 25"/>
          <xdr:cNvSpPr/>
        </xdr:nvSpPr>
        <xdr:spPr>
          <a:xfrm>
            <a:off x="6941887" y="496902"/>
            <a:ext cx="1176203" cy="312623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hlinkClick xmlns:r="http://schemas.openxmlformats.org/officeDocument/2006/relationships" r:id="rId9"/>
          </xdr:cNvPr>
          <xdr:cNvSpPr txBox="1"/>
        </xdr:nvSpPr>
        <xdr:spPr>
          <a:xfrm>
            <a:off x="6875224" y="534119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Separação de Cestas</a:t>
            </a:r>
          </a:p>
        </xdr:txBody>
      </xdr:sp>
    </xdr:grpSp>
    <xdr:clientData/>
  </xdr:twoCellAnchor>
  <xdr:twoCellAnchor>
    <xdr:from>
      <xdr:col>11</xdr:col>
      <xdr:colOff>748740</xdr:colOff>
      <xdr:row>2</xdr:row>
      <xdr:rowOff>121583</xdr:rowOff>
    </xdr:from>
    <xdr:to>
      <xdr:col>14</xdr:col>
      <xdr:colOff>136855</xdr:colOff>
      <xdr:row>5</xdr:row>
      <xdr:rowOff>4647</xdr:rowOff>
    </xdr:to>
    <xdr:grpSp>
      <xdr:nvGrpSpPr>
        <xdr:cNvPr id="31" name="Agrupar 30"/>
        <xdr:cNvGrpSpPr/>
      </xdr:nvGrpSpPr>
      <xdr:grpSpPr>
        <a:xfrm>
          <a:off x="7864475" y="513789"/>
          <a:ext cx="1203468" cy="320093"/>
          <a:chOff x="8168342" y="496049"/>
          <a:chExt cx="1297597" cy="312623"/>
        </a:xfrm>
      </xdr:grpSpPr>
      <xdr:sp macro="" textlink="">
        <xdr:nvSpPr>
          <xdr:cNvPr id="32" name="Retângulo 31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hlinkClick xmlns:r="http://schemas.openxmlformats.org/officeDocument/2006/relationships" r:id="rId10"/>
          </xdr:cNvPr>
          <xdr:cNvSpPr txBox="1"/>
        </xdr:nvSpPr>
        <xdr:spPr>
          <a:xfrm>
            <a:off x="8168342" y="533266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13</xdr:col>
      <xdr:colOff>789079</xdr:colOff>
      <xdr:row>2</xdr:row>
      <xdr:rowOff>121584</xdr:rowOff>
    </xdr:from>
    <xdr:to>
      <xdr:col>15</xdr:col>
      <xdr:colOff>705971</xdr:colOff>
      <xdr:row>5</xdr:row>
      <xdr:rowOff>4648</xdr:rowOff>
    </xdr:to>
    <xdr:grpSp>
      <xdr:nvGrpSpPr>
        <xdr:cNvPr id="19" name="Agrupar 18">
          <a:hlinkClick xmlns:r="http://schemas.openxmlformats.org/officeDocument/2006/relationships" r:id="rId11"/>
        </xdr:cNvPr>
        <xdr:cNvGrpSpPr/>
      </xdr:nvGrpSpPr>
      <xdr:grpSpPr>
        <a:xfrm>
          <a:off x="8924550" y="513790"/>
          <a:ext cx="1508127" cy="320093"/>
          <a:chOff x="8798483" y="512109"/>
          <a:chExt cx="1224385" cy="321214"/>
        </a:xfrm>
      </xdr:grpSpPr>
      <xdr:sp macro="" textlink="">
        <xdr:nvSpPr>
          <xdr:cNvPr id="38" name="Retângulo 37"/>
          <xdr:cNvSpPr/>
        </xdr:nvSpPr>
        <xdr:spPr>
          <a:xfrm>
            <a:off x="8889960" y="512109"/>
            <a:ext cx="1109840" cy="321214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hlinkClick xmlns:r="http://schemas.openxmlformats.org/officeDocument/2006/relationships" r:id="rId11"/>
          </xdr:cNvPr>
          <xdr:cNvSpPr txBox="1"/>
        </xdr:nvSpPr>
        <xdr:spPr>
          <a:xfrm>
            <a:off x="8798483" y="552153"/>
            <a:ext cx="1224385" cy="1880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Abastecimento Postos</a:t>
            </a:r>
          </a:p>
        </xdr:txBody>
      </xdr:sp>
    </xdr:grpSp>
    <xdr:clientData/>
  </xdr:twoCellAnchor>
  <xdr:twoCellAnchor>
    <xdr:from>
      <xdr:col>18</xdr:col>
      <xdr:colOff>148166</xdr:colOff>
      <xdr:row>6</xdr:row>
      <xdr:rowOff>70224</xdr:rowOff>
    </xdr:from>
    <xdr:to>
      <xdr:col>20</xdr:col>
      <xdr:colOff>499</xdr:colOff>
      <xdr:row>9</xdr:row>
      <xdr:rowOff>58395</xdr:rowOff>
    </xdr:to>
    <xdr:sp macro="[0]!BAIXA_ESTOQUE_CESTA" textlink="">
      <xdr:nvSpPr>
        <xdr:cNvPr id="34" name="Retângulo Arredondado 33"/>
        <xdr:cNvSpPr/>
      </xdr:nvSpPr>
      <xdr:spPr>
        <a:xfrm>
          <a:off x="11800416" y="1139141"/>
          <a:ext cx="1482166" cy="676087"/>
        </a:xfrm>
        <a:prstGeom prst="roundRect">
          <a:avLst/>
        </a:prstGeom>
        <a:gradFill flip="none" rotWithShape="1">
          <a:gsLst>
            <a:gs pos="0">
              <a:schemeClr val="accent2">
                <a:lumMod val="75000"/>
                <a:shade val="30000"/>
                <a:satMod val="115000"/>
              </a:schemeClr>
            </a:gs>
            <a:gs pos="50000">
              <a:schemeClr val="accent2">
                <a:lumMod val="75000"/>
                <a:shade val="67500"/>
                <a:satMod val="115000"/>
              </a:schemeClr>
            </a:gs>
            <a:gs pos="100000">
              <a:schemeClr val="accent2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2-Baixa Estoque de Cestas</a:t>
          </a:r>
          <a:endParaRPr lang="pt-BR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77180</xdr:colOff>
      <xdr:row>0</xdr:row>
      <xdr:rowOff>63670</xdr:rowOff>
    </xdr:from>
    <xdr:ext cx="608620" cy="284822"/>
    <xdr:pic macro="[0]!SALVAR_DADOS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80" y="63670"/>
          <a:ext cx="608620" cy="284822"/>
        </a:xfrm>
        <a:prstGeom prst="rect">
          <a:avLst/>
        </a:prstGeom>
      </xdr:spPr>
    </xdr:pic>
    <xdr:clientData/>
  </xdr:oneCellAnchor>
  <xdr:twoCellAnchor>
    <xdr:from>
      <xdr:col>0</xdr:col>
      <xdr:colOff>1</xdr:colOff>
      <xdr:row>3</xdr:row>
      <xdr:rowOff>1</xdr:rowOff>
    </xdr:from>
    <xdr:to>
      <xdr:col>5</xdr:col>
      <xdr:colOff>39413</xdr:colOff>
      <xdr:row>5</xdr:row>
      <xdr:rowOff>39414</xdr:rowOff>
    </xdr:to>
    <xdr:sp macro="" textlink="">
      <xdr:nvSpPr>
        <xdr:cNvPr id="3" name="CaixaDeTexto 2">
          <a:hlinkClick xmlns:r="http://schemas.openxmlformats.org/officeDocument/2006/relationships" r:id="rId1"/>
        </xdr:cNvPr>
        <xdr:cNvSpPr txBox="1"/>
      </xdr:nvSpPr>
      <xdr:spPr>
        <a:xfrm>
          <a:off x="1" y="571501"/>
          <a:ext cx="3087412" cy="420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" panose="020E0602020502020306" pitchFamily="34" charset="0"/>
            </a:rPr>
            <a:t>Abastecimento dos Postos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</xdr:col>
      <xdr:colOff>676275</xdr:colOff>
      <xdr:row>0</xdr:row>
      <xdr:rowOff>69056</xdr:rowOff>
    </xdr:from>
    <xdr:to>
      <xdr:col>3</xdr:col>
      <xdr:colOff>393252</xdr:colOff>
      <xdr:row>2</xdr:row>
      <xdr:rowOff>92437</xdr:rowOff>
    </xdr:to>
    <xdr:grpSp>
      <xdr:nvGrpSpPr>
        <xdr:cNvPr id="4" name="Agrupar 3"/>
        <xdr:cNvGrpSpPr/>
      </xdr:nvGrpSpPr>
      <xdr:grpSpPr>
        <a:xfrm>
          <a:off x="866775" y="69056"/>
          <a:ext cx="1145727" cy="413906"/>
          <a:chOff x="1002186" y="95249"/>
          <a:chExt cx="1138855" cy="416193"/>
        </a:xfrm>
      </xdr:grpSpPr>
      <xdr:sp macro="" textlink="">
        <xdr:nvSpPr>
          <xdr:cNvPr id="5" name="Arredondar Retângulo no Mesmo Canto Lateral 4"/>
          <xdr:cNvSpPr/>
        </xdr:nvSpPr>
        <xdr:spPr>
          <a:xfrm>
            <a:off x="1002186" y="95249"/>
            <a:ext cx="1138855" cy="416193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3"/>
          </xdr:cNvPr>
          <xdr:cNvSpPr txBox="1"/>
        </xdr:nvSpPr>
        <xdr:spPr>
          <a:xfrm>
            <a:off x="1076743" y="183931"/>
            <a:ext cx="952500" cy="23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Cadastro</a:t>
            </a:r>
          </a:p>
        </xdr:txBody>
      </xdr:sp>
    </xdr:grpSp>
    <xdr:clientData/>
  </xdr:twoCellAnchor>
  <xdr:twoCellAnchor>
    <xdr:from>
      <xdr:col>3</xdr:col>
      <xdr:colOff>390171</xdr:colOff>
      <xdr:row>0</xdr:row>
      <xdr:rowOff>66675</xdr:rowOff>
    </xdr:from>
    <xdr:to>
      <xdr:col>4</xdr:col>
      <xdr:colOff>685758</xdr:colOff>
      <xdr:row>2</xdr:row>
      <xdr:rowOff>90056</xdr:rowOff>
    </xdr:to>
    <xdr:grpSp>
      <xdr:nvGrpSpPr>
        <xdr:cNvPr id="7" name="Agrupar 6"/>
        <xdr:cNvGrpSpPr/>
      </xdr:nvGrpSpPr>
      <xdr:grpSpPr>
        <a:xfrm>
          <a:off x="2009421" y="66675"/>
          <a:ext cx="1152837" cy="413906"/>
          <a:chOff x="1983412" y="82686"/>
          <a:chExt cx="1148929" cy="409678"/>
        </a:xfrm>
      </xdr:grpSpPr>
      <xdr:sp macro="" textlink="">
        <xdr:nvSpPr>
          <xdr:cNvPr id="8" name="Arredondar Retângulo no Mesmo Canto Lateral 7"/>
          <xdr:cNvSpPr/>
        </xdr:nvSpPr>
        <xdr:spPr>
          <a:xfrm>
            <a:off x="1990785" y="82686"/>
            <a:ext cx="1141556" cy="409678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hlinkClick xmlns:r="http://schemas.openxmlformats.org/officeDocument/2006/relationships" r:id="rId4"/>
          </xdr:cNvPr>
          <xdr:cNvSpPr txBox="1"/>
        </xdr:nvSpPr>
        <xdr:spPr>
          <a:xfrm>
            <a:off x="1983412" y="174570"/>
            <a:ext cx="1130841" cy="228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Entrada |</a:t>
            </a:r>
            <a:r>
              <a:rPr lang="pt-BR" sz="1000" b="1" baseline="0"/>
              <a:t> Saída</a:t>
            </a:r>
            <a:endParaRPr lang="pt-BR" sz="1000" b="1"/>
          </a:p>
        </xdr:txBody>
      </xdr:sp>
    </xdr:grpSp>
    <xdr:clientData/>
  </xdr:twoCellAnchor>
  <xdr:twoCellAnchor>
    <xdr:from>
      <xdr:col>4</xdr:col>
      <xdr:colOff>691047</xdr:colOff>
      <xdr:row>0</xdr:row>
      <xdr:rowOff>66676</xdr:rowOff>
    </xdr:from>
    <xdr:to>
      <xdr:col>5</xdr:col>
      <xdr:colOff>1012899</xdr:colOff>
      <xdr:row>2</xdr:row>
      <xdr:rowOff>90057</xdr:rowOff>
    </xdr:to>
    <xdr:grpSp>
      <xdr:nvGrpSpPr>
        <xdr:cNvPr id="10" name="Agrupar 9"/>
        <xdr:cNvGrpSpPr/>
      </xdr:nvGrpSpPr>
      <xdr:grpSpPr>
        <a:xfrm>
          <a:off x="3167547" y="66676"/>
          <a:ext cx="1207677" cy="413906"/>
          <a:chOff x="3239327" y="80719"/>
          <a:chExt cx="1206849" cy="411422"/>
        </a:xfrm>
        <a:solidFill>
          <a:srgbClr val="F8C8F1"/>
        </a:solidFill>
      </xdr:grpSpPr>
      <xdr:sp macro="" textlink="">
        <xdr:nvSpPr>
          <xdr:cNvPr id="11" name="Arredondar Retângulo no Mesmo Canto Lateral 10"/>
          <xdr:cNvSpPr/>
        </xdr:nvSpPr>
        <xdr:spPr>
          <a:xfrm>
            <a:off x="3239327" y="80719"/>
            <a:ext cx="1206849" cy="411422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hlinkClick xmlns:r="http://schemas.openxmlformats.org/officeDocument/2006/relationships" r:id="rId5"/>
          </xdr:cNvPr>
          <xdr:cNvSpPr txBox="1"/>
        </xdr:nvSpPr>
        <xdr:spPr>
          <a:xfrm>
            <a:off x="3355015" y="174410"/>
            <a:ext cx="997217" cy="22946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Estoque</a:t>
            </a:r>
          </a:p>
        </xdr:txBody>
      </xdr:sp>
    </xdr:grpSp>
    <xdr:clientData/>
  </xdr:twoCellAnchor>
  <xdr:twoCellAnchor>
    <xdr:from>
      <xdr:col>5</xdr:col>
      <xdr:colOff>1015796</xdr:colOff>
      <xdr:row>0</xdr:row>
      <xdr:rowOff>70921</xdr:rowOff>
    </xdr:from>
    <xdr:to>
      <xdr:col>6</xdr:col>
      <xdr:colOff>266857</xdr:colOff>
      <xdr:row>2</xdr:row>
      <xdr:rowOff>94302</xdr:rowOff>
    </xdr:to>
    <xdr:grpSp>
      <xdr:nvGrpSpPr>
        <xdr:cNvPr id="13" name="Agrupar 12"/>
        <xdr:cNvGrpSpPr/>
      </xdr:nvGrpSpPr>
      <xdr:grpSpPr>
        <a:xfrm>
          <a:off x="4378121" y="70921"/>
          <a:ext cx="1146536" cy="413906"/>
          <a:chOff x="4459426" y="84964"/>
          <a:chExt cx="1146536" cy="412664"/>
        </a:xfrm>
        <a:solidFill>
          <a:schemeClr val="bg1">
            <a:lumMod val="65000"/>
          </a:schemeClr>
        </a:solidFill>
      </xdr:grpSpPr>
      <xdr:sp macro="" textlink="">
        <xdr:nvSpPr>
          <xdr:cNvPr id="14" name="Arredondar Retângulo no Mesmo Canto Lateral 13"/>
          <xdr:cNvSpPr/>
        </xdr:nvSpPr>
        <xdr:spPr>
          <a:xfrm>
            <a:off x="4459426" y="84964"/>
            <a:ext cx="1146536" cy="412664"/>
          </a:xfrm>
          <a:prstGeom prst="round2Same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hlinkClick xmlns:r="http://schemas.openxmlformats.org/officeDocument/2006/relationships" r:id="rId6"/>
          </xdr:cNvPr>
          <xdr:cNvSpPr txBox="1"/>
        </xdr:nvSpPr>
        <xdr:spPr>
          <a:xfrm>
            <a:off x="4466097" y="183425"/>
            <a:ext cx="1105859" cy="230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</a:t>
            </a:r>
          </a:p>
        </xdr:txBody>
      </xdr:sp>
    </xdr:grpSp>
    <xdr:clientData/>
  </xdr:twoCellAnchor>
  <xdr:twoCellAnchor>
    <xdr:from>
      <xdr:col>6</xdr:col>
      <xdr:colOff>274895</xdr:colOff>
      <xdr:row>0</xdr:row>
      <xdr:rowOff>67483</xdr:rowOff>
    </xdr:from>
    <xdr:to>
      <xdr:col>8</xdr:col>
      <xdr:colOff>79507</xdr:colOff>
      <xdr:row>2</xdr:row>
      <xdr:rowOff>90864</xdr:rowOff>
    </xdr:to>
    <xdr:grpSp>
      <xdr:nvGrpSpPr>
        <xdr:cNvPr id="16" name="Agrupar 15"/>
        <xdr:cNvGrpSpPr/>
      </xdr:nvGrpSpPr>
      <xdr:grpSpPr>
        <a:xfrm>
          <a:off x="5532695" y="67483"/>
          <a:ext cx="1138112" cy="413906"/>
          <a:chOff x="5584031" y="63117"/>
          <a:chExt cx="1138112" cy="413906"/>
        </a:xfrm>
      </xdr:grpSpPr>
      <xdr:sp macro="" textlink="">
        <xdr:nvSpPr>
          <xdr:cNvPr id="17" name="Arredondar Retângulo no Mesmo Canto Lateral 16"/>
          <xdr:cNvSpPr/>
        </xdr:nvSpPr>
        <xdr:spPr>
          <a:xfrm>
            <a:off x="5584031" y="63117"/>
            <a:ext cx="1138112" cy="413906"/>
          </a:xfrm>
          <a:prstGeom prst="round2Same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hlinkClick xmlns:r="http://schemas.openxmlformats.org/officeDocument/2006/relationships" r:id="rId7"/>
          </xdr:cNvPr>
          <xdr:cNvSpPr txBox="1"/>
        </xdr:nvSpPr>
        <xdr:spPr>
          <a:xfrm>
            <a:off x="5613935" y="165016"/>
            <a:ext cx="1094761" cy="231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Relatórios</a:t>
            </a:r>
          </a:p>
        </xdr:txBody>
      </xdr:sp>
    </xdr:grpSp>
    <xdr:clientData/>
  </xdr:twoCellAnchor>
  <xdr:twoCellAnchor>
    <xdr:from>
      <xdr:col>6</xdr:col>
      <xdr:colOff>271632</xdr:colOff>
      <xdr:row>2</xdr:row>
      <xdr:rowOff>107871</xdr:rowOff>
    </xdr:from>
    <xdr:to>
      <xdr:col>8</xdr:col>
      <xdr:colOff>89683</xdr:colOff>
      <xdr:row>4</xdr:row>
      <xdr:rowOff>190026</xdr:rowOff>
    </xdr:to>
    <xdr:grpSp>
      <xdr:nvGrpSpPr>
        <xdr:cNvPr id="19" name="Agrupar 18"/>
        <xdr:cNvGrpSpPr/>
      </xdr:nvGrpSpPr>
      <xdr:grpSpPr>
        <a:xfrm>
          <a:off x="5529432" y="498396"/>
          <a:ext cx="1151551" cy="329805"/>
          <a:chOff x="5580768" y="494030"/>
          <a:chExt cx="1151551" cy="329805"/>
        </a:xfrm>
        <a:solidFill>
          <a:srgbClr val="F8C8F1"/>
        </a:solidFill>
      </xdr:grpSpPr>
      <xdr:sp macro="" textlink="">
        <xdr:nvSpPr>
          <xdr:cNvPr id="20" name="Retângulo 19"/>
          <xdr:cNvSpPr/>
        </xdr:nvSpPr>
        <xdr:spPr>
          <a:xfrm>
            <a:off x="5580768" y="494030"/>
            <a:ext cx="1151551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hlinkClick xmlns:r="http://schemas.openxmlformats.org/officeDocument/2006/relationships" r:id="rId8"/>
          </xdr:cNvPr>
          <xdr:cNvSpPr txBox="1"/>
        </xdr:nvSpPr>
        <xdr:spPr>
          <a:xfrm>
            <a:off x="5603274" y="549054"/>
            <a:ext cx="1105859" cy="2307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Cestas Montadas</a:t>
            </a:r>
          </a:p>
        </xdr:txBody>
      </xdr:sp>
    </xdr:grpSp>
    <xdr:clientData/>
  </xdr:twoCellAnchor>
  <xdr:twoCellAnchor>
    <xdr:from>
      <xdr:col>5</xdr:col>
      <xdr:colOff>1009511</xdr:colOff>
      <xdr:row>2</xdr:row>
      <xdr:rowOff>107015</xdr:rowOff>
    </xdr:from>
    <xdr:to>
      <xdr:col>6</xdr:col>
      <xdr:colOff>262989</xdr:colOff>
      <xdr:row>5</xdr:row>
      <xdr:rowOff>0</xdr:rowOff>
    </xdr:to>
    <xdr:grpSp>
      <xdr:nvGrpSpPr>
        <xdr:cNvPr id="22" name="Agrupar 21">
          <a:hlinkClick xmlns:r="http://schemas.openxmlformats.org/officeDocument/2006/relationships" r:id="rId9"/>
        </xdr:cNvPr>
        <xdr:cNvGrpSpPr/>
      </xdr:nvGrpSpPr>
      <xdr:grpSpPr>
        <a:xfrm>
          <a:off x="4371836" y="497540"/>
          <a:ext cx="1148953" cy="331135"/>
          <a:chOff x="4423172" y="493174"/>
          <a:chExt cx="1148953" cy="329805"/>
        </a:xfrm>
        <a:solidFill>
          <a:srgbClr val="F8C8F1"/>
        </a:solidFill>
      </xdr:grpSpPr>
      <xdr:sp macro="" textlink="">
        <xdr:nvSpPr>
          <xdr:cNvPr id="23" name="Retângulo 22"/>
          <xdr:cNvSpPr/>
        </xdr:nvSpPr>
        <xdr:spPr>
          <a:xfrm>
            <a:off x="4423172" y="493174"/>
            <a:ext cx="1148953" cy="329805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/>
          <xdr:cNvSpPr txBox="1"/>
        </xdr:nvSpPr>
        <xdr:spPr>
          <a:xfrm>
            <a:off x="4455097" y="548987"/>
            <a:ext cx="1106261" cy="23030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/>
              <a:t>Montagem</a:t>
            </a:r>
            <a:r>
              <a:rPr lang="pt-BR" sz="1000" b="1" baseline="0"/>
              <a:t> Cesta</a:t>
            </a:r>
          </a:p>
        </xdr:txBody>
      </xdr:sp>
    </xdr:grpSp>
    <xdr:clientData/>
  </xdr:twoCellAnchor>
  <xdr:twoCellAnchor>
    <xdr:from>
      <xdr:col>8</xdr:col>
      <xdr:colOff>19049</xdr:colOff>
      <xdr:row>2</xdr:row>
      <xdr:rowOff>114300</xdr:rowOff>
    </xdr:from>
    <xdr:to>
      <xdr:col>9</xdr:col>
      <xdr:colOff>571499</xdr:colOff>
      <xdr:row>5</xdr:row>
      <xdr:rowOff>1473</xdr:rowOff>
    </xdr:to>
    <xdr:grpSp>
      <xdr:nvGrpSpPr>
        <xdr:cNvPr id="25" name="Agrupar 24"/>
        <xdr:cNvGrpSpPr/>
      </xdr:nvGrpSpPr>
      <xdr:grpSpPr>
        <a:xfrm>
          <a:off x="6610349" y="504825"/>
          <a:ext cx="1419225" cy="325323"/>
          <a:chOff x="6875224" y="496902"/>
          <a:chExt cx="1297597" cy="312623"/>
        </a:xfrm>
        <a:solidFill>
          <a:srgbClr val="F8C8F1"/>
        </a:solidFill>
      </xdr:grpSpPr>
      <xdr:sp macro="" textlink="">
        <xdr:nvSpPr>
          <xdr:cNvPr id="26" name="Retângulo 25"/>
          <xdr:cNvSpPr/>
        </xdr:nvSpPr>
        <xdr:spPr>
          <a:xfrm>
            <a:off x="6941887" y="496902"/>
            <a:ext cx="1176203" cy="312623"/>
          </a:xfrm>
          <a:prstGeom prst="rect">
            <a:avLst/>
          </a:prstGeom>
          <a:grpFill/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hlinkClick xmlns:r="http://schemas.openxmlformats.org/officeDocument/2006/relationships" r:id="rId10"/>
          </xdr:cNvPr>
          <xdr:cNvSpPr txBox="1"/>
        </xdr:nvSpPr>
        <xdr:spPr>
          <a:xfrm>
            <a:off x="6875224" y="534119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Separação de Cestas</a:t>
            </a:r>
          </a:p>
        </xdr:txBody>
      </xdr:sp>
    </xdr:grpSp>
    <xdr:clientData/>
  </xdr:twoCellAnchor>
  <xdr:twoCellAnchor>
    <xdr:from>
      <xdr:col>9</xdr:col>
      <xdr:colOff>460375</xdr:colOff>
      <xdr:row>2</xdr:row>
      <xdr:rowOff>114300</xdr:rowOff>
    </xdr:from>
    <xdr:to>
      <xdr:col>11</xdr:col>
      <xdr:colOff>49822</xdr:colOff>
      <xdr:row>5</xdr:row>
      <xdr:rowOff>1473</xdr:rowOff>
    </xdr:to>
    <xdr:grpSp>
      <xdr:nvGrpSpPr>
        <xdr:cNvPr id="28" name="Agrupar 27"/>
        <xdr:cNvGrpSpPr/>
      </xdr:nvGrpSpPr>
      <xdr:grpSpPr>
        <a:xfrm>
          <a:off x="7918450" y="504825"/>
          <a:ext cx="1218222" cy="325323"/>
          <a:chOff x="8168342" y="496049"/>
          <a:chExt cx="1297597" cy="312623"/>
        </a:xfrm>
      </xdr:grpSpPr>
      <xdr:sp macro="" textlink="">
        <xdr:nvSpPr>
          <xdr:cNvPr id="29" name="Retângulo 28"/>
          <xdr:cNvSpPr/>
        </xdr:nvSpPr>
        <xdr:spPr>
          <a:xfrm>
            <a:off x="8235005" y="496049"/>
            <a:ext cx="1176203" cy="312623"/>
          </a:xfrm>
          <a:prstGeom prst="rect">
            <a:avLst/>
          </a:prstGeom>
          <a:solidFill>
            <a:srgbClr val="F8C8F1"/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hlinkClick xmlns:r="http://schemas.openxmlformats.org/officeDocument/2006/relationships" r:id="rId11"/>
          </xdr:cNvPr>
          <xdr:cNvSpPr txBox="1"/>
        </xdr:nvSpPr>
        <xdr:spPr>
          <a:xfrm>
            <a:off x="8168342" y="533266"/>
            <a:ext cx="1297597" cy="1830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Estoque Cestas</a:t>
            </a:r>
          </a:p>
        </xdr:txBody>
      </xdr:sp>
    </xdr:grpSp>
    <xdr:clientData/>
  </xdr:twoCellAnchor>
  <xdr:twoCellAnchor>
    <xdr:from>
      <xdr:col>10</xdr:col>
      <xdr:colOff>774706</xdr:colOff>
      <xdr:row>2</xdr:row>
      <xdr:rowOff>114300</xdr:rowOff>
    </xdr:from>
    <xdr:to>
      <xdr:col>12</xdr:col>
      <xdr:colOff>466725</xdr:colOff>
      <xdr:row>5</xdr:row>
      <xdr:rowOff>1473</xdr:rowOff>
    </xdr:to>
    <xdr:grpSp>
      <xdr:nvGrpSpPr>
        <xdr:cNvPr id="31" name="Agrupar 30"/>
        <xdr:cNvGrpSpPr/>
      </xdr:nvGrpSpPr>
      <xdr:grpSpPr>
        <a:xfrm>
          <a:off x="9032881" y="504825"/>
          <a:ext cx="1358894" cy="325323"/>
          <a:chOff x="9032881" y="504825"/>
          <a:chExt cx="1358894" cy="325323"/>
        </a:xfrm>
      </xdr:grpSpPr>
      <xdr:sp macro="" textlink="">
        <xdr:nvSpPr>
          <xdr:cNvPr id="32" name="Retângulo 31"/>
          <xdr:cNvSpPr/>
        </xdr:nvSpPr>
        <xdr:spPr>
          <a:xfrm>
            <a:off x="9099307" y="504825"/>
            <a:ext cx="1225794" cy="325323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solidFill>
              <a:srgbClr val="F8C8F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hlinkClick xmlns:r="http://schemas.openxmlformats.org/officeDocument/2006/relationships" r:id="rId12"/>
          </xdr:cNvPr>
          <xdr:cNvSpPr txBox="1"/>
        </xdr:nvSpPr>
        <xdr:spPr>
          <a:xfrm>
            <a:off x="9032881" y="542925"/>
            <a:ext cx="1358894" cy="2285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 b="1" baseline="0"/>
              <a:t>Abastecimento Posto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amela/Lenovo_SDPCAD-0020K/Geral/Alimentar/Estoque%20Atual/Vers&#227;o_2.0/Estoque%20Alimentar_1.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ADASTRO PRODUTO"/>
      <sheetName val="ENTRADA | SAIDA"/>
      <sheetName val="MONTAGEM DE CESTA"/>
      <sheetName val="CESTAS MONTADAS"/>
      <sheetName val="ESTOQUE"/>
      <sheetName val="CESTAS"/>
      <sheetName val="DASHBOARD GERAL"/>
      <sheetName val="Lista"/>
      <sheetName val="DASHBOARD CESTAS"/>
      <sheetName val="Planilha1"/>
      <sheetName val="Estoque Alimentar_1.0.1"/>
    </sheetNames>
    <sheetDataSet>
      <sheetData sheetId="0"/>
      <sheetData sheetId="1"/>
      <sheetData sheetId="2"/>
      <sheetData sheetId="3">
        <row r="21">
          <cell r="B21" t="str">
            <v>Arroz</v>
          </cell>
        </row>
        <row r="22">
          <cell r="B22" t="str">
            <v>Feijão</v>
          </cell>
        </row>
        <row r="23">
          <cell r="B23" t="str">
            <v>Fubá</v>
          </cell>
        </row>
        <row r="24">
          <cell r="B24" t="str">
            <v>Açúcar</v>
          </cell>
        </row>
        <row r="25">
          <cell r="B25" t="str">
            <v>Espaguete</v>
          </cell>
        </row>
        <row r="26">
          <cell r="B26" t="str">
            <v>Café</v>
          </cell>
        </row>
        <row r="27">
          <cell r="B27" t="str">
            <v>Óleo</v>
          </cell>
        </row>
        <row r="28">
          <cell r="B28" t="str">
            <v>Sal</v>
          </cell>
        </row>
        <row r="29">
          <cell r="B29" t="str">
            <v>Sabão</v>
          </cell>
        </row>
      </sheetData>
      <sheetData sheetId="4"/>
      <sheetData sheetId="5"/>
      <sheetData sheetId="6">
        <row r="4">
          <cell r="I4">
            <v>3.31</v>
          </cell>
        </row>
        <row r="5">
          <cell r="I5">
            <v>8.48</v>
          </cell>
        </row>
        <row r="6">
          <cell r="I6">
            <v>2.85</v>
          </cell>
        </row>
        <row r="7">
          <cell r="I7">
            <v>3.43</v>
          </cell>
        </row>
        <row r="8">
          <cell r="I8">
            <v>4.4400000000000004</v>
          </cell>
        </row>
        <row r="9">
          <cell r="I9">
            <v>8.56</v>
          </cell>
        </row>
        <row r="10">
          <cell r="I10">
            <v>10.79</v>
          </cell>
        </row>
        <row r="11">
          <cell r="I11">
            <v>0.9</v>
          </cell>
        </row>
        <row r="12">
          <cell r="I12">
            <v>1.04</v>
          </cell>
        </row>
        <row r="32">
          <cell r="E32" t="str">
            <v>Cesta 1/2</v>
          </cell>
        </row>
        <row r="33">
          <cell r="E33" t="str">
            <v>Cesta 1/2</v>
          </cell>
        </row>
        <row r="34">
          <cell r="E34" t="str">
            <v>Cesta 1/2</v>
          </cell>
        </row>
        <row r="35">
          <cell r="E35" t="str">
            <v>Cesta 1/2</v>
          </cell>
        </row>
        <row r="36">
          <cell r="E36" t="str">
            <v>Cesta 1/2</v>
          </cell>
        </row>
        <row r="37">
          <cell r="E37" t="str">
            <v>Cesta 1/2</v>
          </cell>
        </row>
        <row r="38">
          <cell r="E38" t="str">
            <v>Cesta 1/2</v>
          </cell>
        </row>
        <row r="39">
          <cell r="E39" t="str">
            <v>Cesta 1/2</v>
          </cell>
        </row>
        <row r="41">
          <cell r="F41" t="str">
            <v>Feijão</v>
          </cell>
        </row>
        <row r="42">
          <cell r="F42" t="str">
            <v>Fubá</v>
          </cell>
        </row>
        <row r="43">
          <cell r="F43" t="str">
            <v>Açúcar</v>
          </cell>
        </row>
        <row r="44">
          <cell r="F44" t="str">
            <v>Espaguete</v>
          </cell>
        </row>
        <row r="45">
          <cell r="F45" t="str">
            <v>Café</v>
          </cell>
        </row>
        <row r="46">
          <cell r="F46" t="str">
            <v>Óleo</v>
          </cell>
        </row>
        <row r="47">
          <cell r="F47" t="str">
            <v>Sal</v>
          </cell>
        </row>
        <row r="48">
          <cell r="F48" t="str">
            <v>Sabão</v>
          </cell>
        </row>
        <row r="50">
          <cell r="I50">
            <v>0.01</v>
          </cell>
        </row>
        <row r="51">
          <cell r="I51">
            <v>0.01</v>
          </cell>
        </row>
        <row r="52">
          <cell r="I52">
            <v>0.01</v>
          </cell>
        </row>
        <row r="53">
          <cell r="I53">
            <v>0.01</v>
          </cell>
        </row>
        <row r="54">
          <cell r="I54">
            <v>0.01</v>
          </cell>
        </row>
        <row r="55">
          <cell r="I55">
            <v>0.01</v>
          </cell>
        </row>
        <row r="56">
          <cell r="I56">
            <v>0.01</v>
          </cell>
        </row>
        <row r="57">
          <cell r="I57">
            <v>0.01</v>
          </cell>
        </row>
        <row r="58">
          <cell r="I58">
            <v>0.01</v>
          </cell>
        </row>
        <row r="59">
          <cell r="I59">
            <v>0.01</v>
          </cell>
        </row>
      </sheetData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1" name="Tabela1" displayName="Tabela1" ref="B7:M8" totalsRowShown="0" headerRowDxfId="78" dataDxfId="77">
  <autoFilter ref="B7:M8"/>
  <tableColumns count="12">
    <tableColumn id="1" name="ID" dataDxfId="76"/>
    <tableColumn id="2" name="PRODUTO" dataDxfId="75"/>
    <tableColumn id="9" name="UNID.MEDIDA" dataDxfId="74"/>
    <tableColumn id="3" name="QNT" dataDxfId="73"/>
    <tableColumn id="4" name="VALOR UNIDADE" dataDxfId="72"/>
    <tableColumn id="5" name="VALOR TOTAL " dataDxfId="71"/>
    <tableColumn id="6" name="SITUAÇÃO" dataDxfId="70">
      <calculatedColumnFormula>IF(Tabela1[[#This Row],[Conversão Para baixar no estoque]]="Saída Estoque","Saída",IF(Tabela1[[#This Row],[Conversão Para baixar no estoque]]="","Entrada"))</calculatedColumnFormula>
    </tableColumn>
    <tableColumn id="7" name="DT. CADASTRO" dataDxfId="69"/>
    <tableColumn id="8" name="OPERADOR" dataDxfId="68"/>
    <tableColumn id="10" name="FORNECEDOR" dataDxfId="67"/>
    <tableColumn id="21" name="Nº NOTA" dataDxfId="66"/>
    <tableColumn id="11" name="Conversão Para baixar no estoque" dataDxfId="65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B7:L25" totalsRowShown="0" headerRowDxfId="61">
  <autoFilter ref="B7:L25"/>
  <tableColumns count="11">
    <tableColumn id="1" name="Produto" dataDxfId="60"/>
    <tableColumn id="2" name="Und. Medida" dataDxfId="59"/>
    <tableColumn id="3" name="Entrada" dataDxfId="58">
      <calculatedColumnFormula>SUMIFS(Tabela1[QNT],Tabela1[SITUAÇÃO],"ENTRADA",Tabela1[PRODUTO],ESTOQUE!B8)</calculatedColumnFormula>
    </tableColumn>
    <tableColumn id="4" name="Saída" dataDxfId="57">
      <calculatedColumnFormula>SUMIFS(Tabela1[QNT],Tabela1[SITUAÇÃO],"SAÍDA",Tabela1[PRODUTO],ESTOQUE!B8)</calculatedColumnFormula>
    </tableColumn>
    <tableColumn id="9" name="Doação Entrada" dataDxfId="56">
      <calculatedColumnFormula>SUMIFS(Tabela1[QNT],Tabela1[SITUAÇÃO],"DOAÇÃO ENTRADA",Tabela1[PRODUTO],ESTOQUE!B8)</calculatedColumnFormula>
    </tableColumn>
    <tableColumn id="12" name="Doação Saída" dataDxfId="55">
      <calculatedColumnFormula>SUMIFS(Tabela1[QNT],Tabela1[SITUAÇÃO],"DOAÇÃO SAÍDA",Tabela1[PRODUTO],ESTOQUE!B8)</calculatedColumnFormula>
    </tableColumn>
    <tableColumn id="11" name="Permuta Entrada" dataDxfId="54">
      <calculatedColumnFormula>SUMIFS(Tabela1[QNT],Tabela1[SITUAÇÃO],"PERMUTA ENTRADA",Tabela1[PRODUTO],ESTOQUE!B8)</calculatedColumnFormula>
    </tableColumn>
    <tableColumn id="10" name="Permuta Saída" dataDxfId="53">
      <calculatedColumnFormula>SUMIFS(Tabela1[QNT],Tabela1[SITUAÇÃO],"PERMUTA SAÍDA",Tabela1[PRODUTO],ESTOQUE!B8)</calculatedColumnFormula>
    </tableColumn>
    <tableColumn id="8" name="Perda" dataDxfId="52">
      <calculatedColumnFormula>SUMIFS(Tabela1[QNT],Tabela1[SITUAÇÃO],"PERDA",Tabela1[PRODUTO],ESTOQUE!B8)</calculatedColumnFormula>
    </tableColumn>
    <tableColumn id="5" name="Estoque Atual" dataDxfId="51">
      <calculatedColumnFormula>Tabela3[[#This Row],[Entrada]]+Tabela3[[#This Row],[Doação Entrada]]+Tabela3[[#This Row],[Permuta Entrada]]-Tabela3[[#This Row],[Saída]]-Tabela3[[#This Row],[Doação Saída]]-Tabela3[[#This Row],[Permuta Saída]]-Tabela3[[#This Row],[Perda]]</calculatedColumnFormula>
    </tableColumn>
    <tableColumn id="6" name="Situação" dataDxfId="50">
      <calculatedColumnFormula>IF(K8&lt;=Lista!B19,"COMPRAR","OK")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ela25" displayName="Tabela25" ref="B8:AE9" totalsRowShown="0">
  <autoFilter ref="B8:AE9"/>
  <tableColumns count="30">
    <tableColumn id="1" name="ID"/>
    <tableColumn id="17" name="LOTE"/>
    <tableColumn id="16" name="DATA" dataDxfId="42"/>
    <tableColumn id="20" name="OPERADOR" dataDxfId="41"/>
    <tableColumn id="2" name="SITUAÇÃO">
      <calculatedColumnFormula>IF(Tabela25[[#This Row],[Conversão Para baixar no estoque]]="Saída Estoque","Entrada",IF(Tabela25[[#This Row],[Conversão Para baixar no estoque]]="Saída","Saída"))</calculatedColumnFormula>
    </tableColumn>
    <tableColumn id="3" name="CESTA 1" dataDxfId="40"/>
    <tableColumn id="4" name="CESTA 2" dataDxfId="39"/>
    <tableColumn id="5" name="CESTA 3" dataDxfId="38"/>
    <tableColumn id="19" name="CESTA 1/2" dataDxfId="37"/>
    <tableColumn id="15" name="CESTA 2/2" dataDxfId="36"/>
    <tableColumn id="21" name="Cesta Doção" dataDxfId="35"/>
    <tableColumn id="7" name="TOTAL CESTAS" dataDxfId="34"/>
    <tableColumn id="8" name="Arroz" dataDxfId="33"/>
    <tableColumn id="9" name="Feijão" dataDxfId="32"/>
    <tableColumn id="10" name="Fubá" dataDxfId="31"/>
    <tableColumn id="11" name="Açúcar" dataDxfId="30"/>
    <tableColumn id="12" name="Espaguete" dataDxfId="29"/>
    <tableColumn id="13" name="Café" dataDxfId="28"/>
    <tableColumn id="14" name="Óleo" dataDxfId="27"/>
    <tableColumn id="22" name="Sal" dataDxfId="26"/>
    <tableColumn id="23" name="Sabão" dataDxfId="25"/>
    <tableColumn id="24" name="C1-CP Fardo 60x40x10" dataDxfId="24"/>
    <tableColumn id="25" name="C2e3-Capa de Fardo 80x50x10" dataDxfId="23"/>
    <tableColumn id="26" name="Embalagem 17x25" dataDxfId="22"/>
    <tableColumn id="27" name="Embalagem 17x35" dataDxfId="21"/>
    <tableColumn id="28" name="Embalagem 20x30" dataDxfId="20"/>
    <tableColumn id="29" name="Embalagem 25x35" dataDxfId="19"/>
    <tableColumn id="30" name="Embalagem 35x45x10 (corte)" dataDxfId="18"/>
    <tableColumn id="6" name="Fita" dataDxfId="17"/>
    <tableColumn id="18" name="Conversão Para baixar no estoque" dataDxfId="16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5" name="Tabela2568" displayName="Tabela2568" ref="B8:M9" insertRow="1" totalsRowShown="0" headerRowDxfId="10">
  <autoFilter ref="B8:M9">
    <filterColumn colId="4">
      <filters>
        <filter val="Posto 01 - Cidade dos Meninos"/>
      </filters>
    </filterColumn>
  </autoFilter>
  <tableColumns count="12">
    <tableColumn id="1" name="ID"/>
    <tableColumn id="16" name="LOTE DISTR" dataDxfId="9"/>
    <tableColumn id="20" name="DATA" dataDxfId="8"/>
    <tableColumn id="2" name="OPERADOR" dataDxfId="7"/>
    <tableColumn id="3" name="POSTO " dataDxfId="6"/>
    <tableColumn id="4" name="CESTA 01" dataDxfId="5"/>
    <tableColumn id="5" name="CESTA 02" dataDxfId="4"/>
    <tableColumn id="6" name="CESTA 03" dataDxfId="3"/>
    <tableColumn id="7" name="CESTA 01/02" dataDxfId="2"/>
    <tableColumn id="8" name="CESTA 02/02" dataDxfId="1"/>
    <tableColumn id="10" name="TOTAL CESTA" dataDxfId="0"/>
    <tableColumn id="11" name="SITUAÇÃO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9"/>
  <sheetViews>
    <sheetView showGridLines="0" zoomScale="115" zoomScaleNormal="115" workbookViewId="0">
      <selection activeCell="H10" sqref="H10"/>
    </sheetView>
  </sheetViews>
  <sheetFormatPr defaultColWidth="0" defaultRowHeight="15" zeroHeight="1" x14ac:dyDescent="0.25"/>
  <cols>
    <col min="1" max="1" width="2.85546875" customWidth="1"/>
    <col min="2" max="2" width="12" customWidth="1"/>
    <col min="3" max="3" width="9.140625" customWidth="1"/>
    <col min="4" max="4" width="16.42578125" customWidth="1"/>
    <col min="5" max="5" width="10" bestFit="1" customWidth="1"/>
    <col min="6" max="6" width="15.7109375" customWidth="1"/>
    <col min="7" max="7" width="9.140625" customWidth="1"/>
    <col min="8" max="8" width="15.85546875" bestFit="1" customWidth="1"/>
    <col min="9" max="9" width="9.140625" customWidth="1"/>
    <col min="10" max="10" width="5.85546875" customWidth="1"/>
    <col min="11" max="16384" width="9.140625" hidden="1"/>
  </cols>
  <sheetData>
    <row r="1" spans="1:10" s="14" customFormat="1" ht="15.75" customHeight="1" x14ac:dyDescent="0.25"/>
    <row r="2" spans="1:10" s="14" customFormat="1" x14ac:dyDescent="0.25"/>
    <row r="3" spans="1:10" s="15" customFormat="1" ht="9.75" customHeight="1" x14ac:dyDescent="0.25"/>
    <row r="4" spans="1:10" ht="9.75" customHeight="1" x14ac:dyDescent="0.25">
      <c r="A4" s="23"/>
      <c r="B4" s="23"/>
      <c r="C4" s="23"/>
      <c r="D4" s="23"/>
      <c r="E4" s="23"/>
      <c r="F4" s="23"/>
      <c r="G4" s="23"/>
      <c r="H4" s="23"/>
      <c r="I4" s="24"/>
    </row>
    <row r="5" spans="1:10" x14ac:dyDescent="0.25">
      <c r="A5" s="23"/>
      <c r="B5" s="23"/>
      <c r="C5" s="23"/>
      <c r="D5" s="23"/>
      <c r="E5" s="23"/>
      <c r="F5" s="23"/>
      <c r="G5" s="23"/>
      <c r="H5" s="23"/>
      <c r="I5" s="24"/>
    </row>
    <row r="6" spans="1:10" x14ac:dyDescent="0.25">
      <c r="A6" s="19"/>
      <c r="B6" s="19"/>
      <c r="C6" s="19"/>
      <c r="D6" s="19"/>
      <c r="E6" s="19"/>
      <c r="F6" s="19"/>
      <c r="G6" s="19"/>
      <c r="H6" s="19"/>
      <c r="I6" s="20"/>
      <c r="J6" t="s">
        <v>169</v>
      </c>
    </row>
    <row r="7" spans="1:10" x14ac:dyDescent="0.25">
      <c r="A7" s="19"/>
      <c r="B7" s="13" t="s">
        <v>10</v>
      </c>
      <c r="C7" s="12">
        <f>MAX('ENTRADA | SAIDA'!B:B)+1</f>
        <v>1</v>
      </c>
      <c r="D7" s="19"/>
      <c r="E7" s="7" t="s">
        <v>9</v>
      </c>
      <c r="F7" s="11"/>
      <c r="G7" s="10" t="s">
        <v>8</v>
      </c>
      <c r="H7" s="9"/>
      <c r="I7" s="20"/>
    </row>
    <row r="8" spans="1:10" x14ac:dyDescent="0.25">
      <c r="A8" s="19"/>
      <c r="B8" s="19"/>
      <c r="C8" s="19"/>
      <c r="D8" s="19"/>
      <c r="E8" s="19"/>
      <c r="F8" s="19"/>
      <c r="G8" s="19"/>
      <c r="H8" s="19"/>
      <c r="I8" s="20"/>
    </row>
    <row r="9" spans="1:10" x14ac:dyDescent="0.25">
      <c r="A9" s="19"/>
      <c r="B9" s="7" t="s">
        <v>7</v>
      </c>
      <c r="C9" s="19"/>
      <c r="D9" s="19"/>
      <c r="E9" s="19"/>
      <c r="F9" s="19"/>
      <c r="G9" s="19"/>
      <c r="H9" s="7" t="s">
        <v>6</v>
      </c>
      <c r="I9" s="20"/>
    </row>
    <row r="10" spans="1:10" ht="15.75" x14ac:dyDescent="0.25">
      <c r="A10" s="19"/>
      <c r="B10" s="188"/>
      <c r="C10" s="17"/>
      <c r="D10" s="17"/>
      <c r="E10" s="17"/>
      <c r="F10" s="18"/>
      <c r="G10" s="19"/>
      <c r="H10" s="2"/>
      <c r="I10" s="20"/>
    </row>
    <row r="11" spans="1:10" x14ac:dyDescent="0.25">
      <c r="A11" s="19"/>
      <c r="B11" s="19"/>
      <c r="C11" s="19"/>
      <c r="D11" s="19"/>
      <c r="E11" s="19"/>
      <c r="F11" s="19"/>
      <c r="G11" s="19"/>
      <c r="H11" s="19"/>
      <c r="I11" s="20"/>
    </row>
    <row r="12" spans="1:10" x14ac:dyDescent="0.25">
      <c r="A12" s="19"/>
      <c r="B12" s="8" t="s">
        <v>5</v>
      </c>
      <c r="C12" s="19"/>
      <c r="D12" s="3" t="s">
        <v>4</v>
      </c>
      <c r="E12" s="19"/>
      <c r="F12" s="3" t="s">
        <v>3</v>
      </c>
      <c r="G12" s="19"/>
      <c r="H12" s="3" t="s">
        <v>2</v>
      </c>
      <c r="I12" s="20"/>
    </row>
    <row r="13" spans="1:10" x14ac:dyDescent="0.25">
      <c r="A13" s="19"/>
      <c r="B13" s="6"/>
      <c r="C13" s="19"/>
      <c r="D13" s="5"/>
      <c r="E13" s="19"/>
      <c r="F13" s="4" t="str">
        <f>IF(D13&lt;&gt;"",D13*B13," ")</f>
        <v xml:space="preserve"> </v>
      </c>
      <c r="G13" s="19"/>
      <c r="H13" s="2"/>
      <c r="I13" s="20"/>
    </row>
    <row r="14" spans="1:10" x14ac:dyDescent="0.25">
      <c r="A14" s="19"/>
      <c r="B14" s="19"/>
      <c r="C14" s="19"/>
      <c r="D14" s="19"/>
      <c r="E14" s="19"/>
      <c r="F14" s="1"/>
      <c r="G14" s="19"/>
      <c r="H14" s="19"/>
      <c r="I14" s="20"/>
    </row>
    <row r="15" spans="1:10" x14ac:dyDescent="0.25">
      <c r="A15" s="19"/>
      <c r="B15" s="19"/>
      <c r="C15" s="19"/>
      <c r="D15" s="3" t="s">
        <v>1</v>
      </c>
      <c r="E15" s="19"/>
      <c r="F15" s="3" t="s">
        <v>0</v>
      </c>
      <c r="G15" s="19"/>
      <c r="H15" s="19"/>
      <c r="I15" s="20"/>
    </row>
    <row r="16" spans="1:10" x14ac:dyDescent="0.25">
      <c r="A16" s="19"/>
      <c r="B16" s="19"/>
      <c r="C16" s="19"/>
      <c r="D16" s="183"/>
      <c r="E16" s="19"/>
      <c r="F16" s="183"/>
      <c r="G16" s="19"/>
      <c r="H16" s="19"/>
      <c r="I16" s="20"/>
    </row>
    <row r="17" spans="1:9" x14ac:dyDescent="0.25">
      <c r="A17" s="19"/>
      <c r="B17" s="19"/>
      <c r="C17" s="19"/>
      <c r="D17" s="19"/>
      <c r="E17" s="19"/>
      <c r="F17" s="19"/>
      <c r="G17" s="19"/>
      <c r="H17" s="19"/>
      <c r="I17" s="20"/>
    </row>
    <row r="18" spans="1:9" ht="15.75" thickBot="1" x14ac:dyDescent="0.3">
      <c r="A18" s="21"/>
      <c r="B18" s="21"/>
      <c r="C18" s="21"/>
      <c r="D18" s="21"/>
      <c r="E18" s="21"/>
      <c r="F18" s="21"/>
      <c r="G18" s="21"/>
      <c r="H18" s="21"/>
      <c r="I18" s="22"/>
    </row>
    <row r="19" spans="1:9" ht="15.75" thickTop="1" x14ac:dyDescent="0.25"/>
  </sheetData>
  <sheetProtection algorithmName="SHA-512" hashValue="De4WNPaGWTM8rsCsYKMwV0t/BMRQ2KggHgx3ZrRPDzfkRXd3WVxoT8nZalfzMFqxsBjskiWidwVRq8w1HOswtA==" saltValue="7XurbGgbN9AftNmHomOK8w==" spinCount="100000" sheet="1" objects="1" scenarios="1" selectLockedCells="1"/>
  <dataValidations count="4">
    <dataValidation type="list" allowBlank="1" showInputMessage="1" showErrorMessage="1" sqref="B10">
      <formula1>"Arroz,Feijão,Fubá,Açúcar,Espaguete,Café,Óleo,Sal,Sabão,Cesta Doação,C1-Capa de Fardo 60x40x10,C2e3-Capa de Fardo 80x50x10,Embalagem 17x25,Embalagem 17x35,Embalagem 20x30,Embalagem 25x35,Embalagem 35x45x10 (Corte),Fita"</formula1>
    </dataValidation>
    <dataValidation type="list" allowBlank="1" showInputMessage="1" showErrorMessage="1" sqref="F7">
      <formula1>"Administrador,Coordenador,Atendente"</formula1>
    </dataValidation>
    <dataValidation type="list" allowBlank="1" showInputMessage="1" showErrorMessage="1" sqref="H10">
      <formula1>"kg,unid"</formula1>
    </dataValidation>
    <dataValidation type="list" allowBlank="1" showInputMessage="1" showErrorMessage="1" sqref="H13">
      <formula1>"Entrada, Saída, Doação Entrada, Doação Saída, Permuta Entrada, Permuta Saída, Perda"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N8"/>
  <sheetViews>
    <sheetView showGridLines="0" showRowColHeaders="0" showZeros="0" zoomScale="85" zoomScaleNormal="85" workbookViewId="0"/>
  </sheetViews>
  <sheetFormatPr defaultColWidth="0" defaultRowHeight="15" x14ac:dyDescent="0.25"/>
  <cols>
    <col min="1" max="1" width="2.85546875" customWidth="1"/>
    <col min="2" max="2" width="8.42578125" customWidth="1"/>
    <col min="3" max="3" width="32.140625" customWidth="1"/>
    <col min="4" max="4" width="16" bestFit="1" customWidth="1"/>
    <col min="5" max="5" width="18.5703125" style="33" customWidth="1"/>
    <col min="6" max="6" width="19.5703125" customWidth="1"/>
    <col min="7" max="7" width="18.140625" style="187" customWidth="1"/>
    <col min="8" max="8" width="17.85546875" customWidth="1"/>
    <col min="9" max="9" width="19.42578125" customWidth="1"/>
    <col min="10" max="11" width="18" customWidth="1"/>
    <col min="12" max="13" width="18" style="251" customWidth="1"/>
    <col min="14" max="14" width="17" customWidth="1"/>
    <col min="15" max="16384" width="9.140625" hidden="1"/>
  </cols>
  <sheetData>
    <row r="1" spans="1:14" s="14" customFormat="1" ht="15.75" customHeight="1" x14ac:dyDescent="0.25">
      <c r="E1" s="30"/>
      <c r="G1" s="184"/>
      <c r="L1" s="249"/>
      <c r="M1" s="249"/>
    </row>
    <row r="2" spans="1:14" s="14" customFormat="1" x14ac:dyDescent="0.25">
      <c r="E2" s="30"/>
      <c r="G2" s="184"/>
      <c r="L2" s="249"/>
      <c r="M2" s="249"/>
    </row>
    <row r="3" spans="1:14" s="15" customFormat="1" ht="9.75" customHeight="1" x14ac:dyDescent="0.25">
      <c r="E3" s="31"/>
      <c r="G3" s="185"/>
      <c r="L3" s="250"/>
      <c r="M3" s="250"/>
    </row>
    <row r="4" spans="1:14" ht="9.75" customHeight="1" x14ac:dyDescent="0.25">
      <c r="A4" s="23"/>
      <c r="B4" s="23"/>
      <c r="C4" s="23"/>
      <c r="D4" s="23"/>
      <c r="E4" s="32"/>
      <c r="F4" s="23"/>
      <c r="G4" s="186"/>
      <c r="H4" s="23"/>
      <c r="I4" s="14"/>
      <c r="J4" s="14"/>
      <c r="K4" s="14"/>
      <c r="L4" s="249"/>
      <c r="M4" s="249"/>
      <c r="N4" s="14"/>
    </row>
    <row r="5" spans="1:14" x14ac:dyDescent="0.25">
      <c r="A5" s="23"/>
      <c r="B5" s="23"/>
      <c r="C5" s="23"/>
      <c r="D5" s="23"/>
      <c r="E5" s="32"/>
      <c r="F5" s="23"/>
      <c r="G5" s="186"/>
      <c r="H5" s="23"/>
      <c r="I5" s="14"/>
      <c r="J5" s="14"/>
      <c r="K5" s="14"/>
      <c r="L5" s="249"/>
      <c r="M5" s="249"/>
      <c r="N5" s="14"/>
    </row>
    <row r="6" spans="1:14" ht="6" customHeight="1" x14ac:dyDescent="0.25"/>
    <row r="7" spans="1:14" x14ac:dyDescent="0.25">
      <c r="B7" s="16" t="s">
        <v>12</v>
      </c>
      <c r="C7" s="16" t="s">
        <v>13</v>
      </c>
      <c r="D7" s="16" t="s">
        <v>14</v>
      </c>
      <c r="E7" s="34" t="s">
        <v>15</v>
      </c>
      <c r="F7" s="16" t="s">
        <v>16</v>
      </c>
      <c r="G7" s="25" t="s">
        <v>17</v>
      </c>
      <c r="H7" s="16" t="s">
        <v>18</v>
      </c>
      <c r="I7" s="16" t="s">
        <v>19</v>
      </c>
      <c r="J7" s="26" t="s">
        <v>20</v>
      </c>
      <c r="K7" s="27" t="s">
        <v>21</v>
      </c>
      <c r="L7" s="252" t="s">
        <v>22</v>
      </c>
      <c r="M7" s="279" t="s">
        <v>208</v>
      </c>
    </row>
    <row r="8" spans="1:14" x14ac:dyDescent="0.25">
      <c r="B8" s="16"/>
      <c r="C8" s="16"/>
      <c r="D8" s="16"/>
      <c r="E8" s="238"/>
      <c r="F8" s="237"/>
      <c r="G8" s="237"/>
      <c r="H8" s="27" t="str">
        <f>IF(Tabela1[[#This Row],[Conversão Para baixar no estoque]]="Saída Estoque","Saída",IF(Tabela1[[#This Row],[Conversão Para baixar no estoque]]="","Entrada"))</f>
        <v>Entrada</v>
      </c>
      <c r="I8" s="28"/>
      <c r="J8" s="26"/>
      <c r="K8" s="27"/>
      <c r="L8" s="252"/>
      <c r="M8" s="28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autoPageBreaks="0"/>
  </sheetPr>
  <dimension ref="A1:M27"/>
  <sheetViews>
    <sheetView showGridLines="0" showRowColHeaders="0" zoomScaleNormal="100" zoomScalePageLayoutView="70" workbookViewId="0"/>
  </sheetViews>
  <sheetFormatPr defaultColWidth="0" defaultRowHeight="15" zeroHeight="1" x14ac:dyDescent="0.25"/>
  <cols>
    <col min="1" max="1" width="2.85546875" customWidth="1"/>
    <col min="2" max="2" width="28.7109375" bestFit="1" customWidth="1"/>
    <col min="3" max="3" width="8.42578125" customWidth="1"/>
    <col min="4" max="4" width="12.42578125" customWidth="1"/>
    <col min="5" max="5" width="12.42578125" style="33" customWidth="1"/>
    <col min="6" max="6" width="12.42578125" customWidth="1"/>
    <col min="7" max="7" width="11" customWidth="1"/>
    <col min="8" max="8" width="12.42578125" customWidth="1"/>
    <col min="9" max="9" width="12" customWidth="1"/>
    <col min="10" max="10" width="12.42578125" customWidth="1"/>
    <col min="11" max="11" width="11.140625" customWidth="1"/>
    <col min="12" max="12" width="19.7109375" customWidth="1"/>
    <col min="13" max="13" width="3.28515625" customWidth="1"/>
    <col min="14" max="16384" width="9.140625" hidden="1"/>
  </cols>
  <sheetData>
    <row r="1" spans="1:13" s="14" customFormat="1" ht="15.75" customHeight="1" x14ac:dyDescent="0.25">
      <c r="E1" s="30"/>
    </row>
    <row r="2" spans="1:13" s="14" customFormat="1" x14ac:dyDescent="0.25">
      <c r="E2" s="30"/>
    </row>
    <row r="3" spans="1:13" s="15" customFormat="1" ht="9.75" customHeight="1" x14ac:dyDescent="0.25">
      <c r="E3" s="31"/>
    </row>
    <row r="4" spans="1:13" s="14" customFormat="1" ht="9.75" customHeight="1" x14ac:dyDescent="0.25">
      <c r="A4" s="263"/>
      <c r="B4" s="263"/>
      <c r="C4" s="304" t="s">
        <v>210</v>
      </c>
      <c r="D4" s="305"/>
      <c r="E4" s="305"/>
      <c r="F4" s="305"/>
      <c r="G4" s="305"/>
      <c r="H4" s="305"/>
      <c r="I4" s="305"/>
      <c r="J4" s="305"/>
      <c r="K4" s="302" t="s">
        <v>8</v>
      </c>
      <c r="L4" s="303">
        <f ca="1">TODAY()</f>
        <v>44928</v>
      </c>
    </row>
    <row r="5" spans="1:13" ht="23.1" customHeight="1" x14ac:dyDescent="0.25">
      <c r="A5" s="263"/>
      <c r="B5" s="263"/>
      <c r="C5" s="305"/>
      <c r="D5" s="305"/>
      <c r="E5" s="305"/>
      <c r="F5" s="305"/>
      <c r="G5" s="305"/>
      <c r="H5" s="305"/>
      <c r="I5" s="305"/>
      <c r="J5" s="305"/>
      <c r="K5" s="302"/>
      <c r="L5" s="303"/>
      <c r="M5" s="14"/>
    </row>
    <row r="6" spans="1:13" ht="6" customHeight="1" x14ac:dyDescent="0.25"/>
    <row r="7" spans="1:13" ht="31.5" customHeight="1" x14ac:dyDescent="0.25">
      <c r="B7" s="35" t="s">
        <v>7</v>
      </c>
      <c r="C7" s="36" t="s">
        <v>23</v>
      </c>
      <c r="D7" s="36" t="s">
        <v>24</v>
      </c>
      <c r="E7" s="36" t="s">
        <v>25</v>
      </c>
      <c r="F7" s="37" t="s">
        <v>11</v>
      </c>
      <c r="G7" s="36" t="s">
        <v>26</v>
      </c>
      <c r="H7" s="36" t="s">
        <v>27</v>
      </c>
      <c r="I7" s="36" t="s">
        <v>28</v>
      </c>
      <c r="J7" s="36" t="s">
        <v>29</v>
      </c>
      <c r="K7" s="36" t="s">
        <v>30</v>
      </c>
      <c r="L7" s="148" t="s">
        <v>2</v>
      </c>
    </row>
    <row r="8" spans="1:13" x14ac:dyDescent="0.25">
      <c r="B8" s="38" t="s">
        <v>31</v>
      </c>
      <c r="C8" s="33" t="s">
        <v>32</v>
      </c>
      <c r="D8" s="39">
        <f>SUMIFS(Tabela1[QNT],Tabela1[SITUAÇÃO],"ENTRADA",Tabela1[PRODUTO],ESTOQUE!B8)</f>
        <v>0</v>
      </c>
      <c r="E8" s="39">
        <f>SUMIFS(Tabela1[QNT],Tabela1[SITUAÇÃO],"SAÍDA",Tabela1[PRODUTO],ESTOQUE!B8)</f>
        <v>0</v>
      </c>
      <c r="F8" s="39">
        <f>SUMIFS(Tabela1[QNT],Tabela1[SITUAÇÃO],"DOAÇÃO ENTRADA",Tabela1[PRODUTO],ESTOQUE!B8)</f>
        <v>0</v>
      </c>
      <c r="G8" s="39">
        <f>SUMIFS(Tabela1[QNT],Tabela1[SITUAÇÃO],"DOAÇÃO SAÍDA",Tabela1[PRODUTO],ESTOQUE!B8)</f>
        <v>0</v>
      </c>
      <c r="H8" s="40">
        <f>SUMIFS(Tabela1[QNT],Tabela1[SITUAÇÃO],"PERMUTA ENTRADA",Tabela1[PRODUTO],ESTOQUE!B8)</f>
        <v>0</v>
      </c>
      <c r="I8" s="40">
        <f>SUMIFS(Tabela1[QNT],Tabela1[SITUAÇÃO],"PERMUTA SAÍDA",Tabela1[PRODUTO],ESTOQUE!B8)</f>
        <v>0</v>
      </c>
      <c r="J8" s="40">
        <f>SUMIFS(Tabela1[QNT],Tabela1[SITUAÇÃO],"PERDA",Tabela1[PRODUTO],ESTOQUE!B8)</f>
        <v>0</v>
      </c>
      <c r="K8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8" s="149" t="str">
        <f>IF(K8&lt;=Lista!B19,"COMPRAR ABAIXO 6300","OK")</f>
        <v>COMPRAR ABAIXO 6300</v>
      </c>
    </row>
    <row r="9" spans="1:13" x14ac:dyDescent="0.25">
      <c r="B9" s="38" t="s">
        <v>33</v>
      </c>
      <c r="C9" s="33" t="s">
        <v>32</v>
      </c>
      <c r="D9" s="39">
        <f>SUMIFS(Tabela1[QNT],Tabela1[SITUAÇÃO],"ENTRADA",Tabela1[PRODUTO],ESTOQUE!B9)</f>
        <v>0</v>
      </c>
      <c r="E9" s="39">
        <f>SUMIFS(Tabela1[QNT],Tabela1[SITUAÇÃO],"SAÍDA",Tabela1[PRODUTO],ESTOQUE!B9)</f>
        <v>0</v>
      </c>
      <c r="F9" s="39">
        <f>SUMIFS(Tabela1[QNT],Tabela1[SITUAÇÃO],"DOAÇÃO ENTRADA",Tabela1[PRODUTO],ESTOQUE!B9)</f>
        <v>0</v>
      </c>
      <c r="G9" s="39">
        <f>SUMIFS(Tabela1[QNT],Tabela1[SITUAÇÃO],"DOAÇÃO SAÍDA",Tabela1[PRODUTO],ESTOQUE!B9)</f>
        <v>0</v>
      </c>
      <c r="H9" s="40">
        <f>SUMIFS(Tabela1[QNT],Tabela1[SITUAÇÃO],"PERMUTA ENTRADA",Tabela1[PRODUTO],ESTOQUE!B9)</f>
        <v>0</v>
      </c>
      <c r="I9" s="40">
        <f>SUMIFS(Tabela1[QNT],Tabela1[SITUAÇÃO],"PERMUTA SAÍDA",Tabela1[PRODUTO],ESTOQUE!B9)</f>
        <v>0</v>
      </c>
      <c r="J9" s="40">
        <f>SUMIFS(Tabela1[QNT],Tabela1[SITUAÇÃO],"PERDA",Tabela1[PRODUTO],ESTOQUE!B9)</f>
        <v>0</v>
      </c>
      <c r="K9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9" s="149" t="str">
        <f>IF(K9&lt;=Lista!B20,"COMPRAR ABAIXO 2500","OK")</f>
        <v>COMPRAR ABAIXO 2500</v>
      </c>
    </row>
    <row r="10" spans="1:13" x14ac:dyDescent="0.25">
      <c r="B10" s="38" t="s">
        <v>34</v>
      </c>
      <c r="C10" s="33" t="s">
        <v>32</v>
      </c>
      <c r="D10" s="39">
        <f>SUMIFS(Tabela1[QNT],Tabela1[SITUAÇÃO],"ENTRADA",Tabela1[PRODUTO],ESTOQUE!B10)</f>
        <v>0</v>
      </c>
      <c r="E10" s="39">
        <f>SUMIFS(Tabela1[QNT],Tabela1[SITUAÇÃO],"SAÍDA",Tabela1[PRODUTO],ESTOQUE!B10)</f>
        <v>0</v>
      </c>
      <c r="F10" s="39">
        <f>SUMIFS(Tabela1[QNT],Tabela1[SITUAÇÃO],"DOAÇÃO ENTRADA",Tabela1[PRODUTO],ESTOQUE!B10)</f>
        <v>0</v>
      </c>
      <c r="G10" s="39">
        <f>SUMIFS(Tabela1[QNT],Tabela1[SITUAÇÃO],"DOAÇÃO SAÍDA",Tabela1[PRODUTO],ESTOQUE!B10)</f>
        <v>0</v>
      </c>
      <c r="H10" s="40">
        <f>SUMIFS(Tabela1[QNT],Tabela1[SITUAÇÃO],"PERMUTA ENTRADA",Tabela1[PRODUTO],ESTOQUE!B10)</f>
        <v>0</v>
      </c>
      <c r="I10" s="40">
        <f>SUMIFS(Tabela1[QNT],Tabela1[SITUAÇÃO],"PERMUTA SAÍDA",Tabela1[PRODUTO],ESTOQUE!B10)</f>
        <v>0</v>
      </c>
      <c r="J10" s="40">
        <f>SUMIFS(Tabela1[QNT],Tabela1[SITUAÇÃO],"PERDA",Tabela1[PRODUTO],ESTOQUE!B10)</f>
        <v>0</v>
      </c>
      <c r="K10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0" s="149" t="str">
        <f>IF(K10&lt;=Lista!B21,"COMPRAR ABAIXO 1600","OK")</f>
        <v>COMPRAR ABAIXO 1600</v>
      </c>
    </row>
    <row r="11" spans="1:13" x14ac:dyDescent="0.25">
      <c r="B11" s="38" t="s">
        <v>35</v>
      </c>
      <c r="C11" s="33" t="s">
        <v>32</v>
      </c>
      <c r="D11" s="39">
        <f>SUMIFS(Tabela1[QNT],Tabela1[SITUAÇÃO],"ENTRADA",Tabela1[PRODUTO],ESTOQUE!B11)</f>
        <v>0</v>
      </c>
      <c r="E11" s="39">
        <f>SUMIFS(Tabela1[QNT],Tabela1[SITUAÇÃO],"SAÍDA",Tabela1[PRODUTO],ESTOQUE!B11)</f>
        <v>0</v>
      </c>
      <c r="F11" s="39">
        <f>SUMIFS(Tabela1[QNT],Tabela1[SITUAÇÃO],"DOAÇÃO ENTRADA",Tabela1[PRODUTO],ESTOQUE!B11)</f>
        <v>0</v>
      </c>
      <c r="G11" s="39">
        <f>SUMIFS(Tabela1[QNT],Tabela1[SITUAÇÃO],"DOAÇÃO SAÍDA",Tabela1[PRODUTO],ESTOQUE!B11)</f>
        <v>0</v>
      </c>
      <c r="H11" s="40">
        <f>SUMIFS(Tabela1[QNT],Tabela1[SITUAÇÃO],"PERMUTA ENTRADA",Tabela1[PRODUTO],ESTOQUE!B11)</f>
        <v>0</v>
      </c>
      <c r="I11" s="40">
        <f>SUMIFS(Tabela1[QNT],Tabela1[SITUAÇÃO],"PERMUTA SAÍDA",Tabela1[PRODUTO],ESTOQUE!B11)</f>
        <v>0</v>
      </c>
      <c r="J11" s="40">
        <f>SUMIFS(Tabela1[QNT],Tabela1[SITUAÇÃO],"PERDA",Tabela1[PRODUTO],ESTOQUE!B11)</f>
        <v>0</v>
      </c>
      <c r="K11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1" s="149" t="str">
        <f>IF(K11&lt;=Lista!B22,"COMPRAR ABAIXO 1900","OK")</f>
        <v>COMPRAR ABAIXO 1900</v>
      </c>
    </row>
    <row r="12" spans="1:13" x14ac:dyDescent="0.25">
      <c r="B12" s="38" t="s">
        <v>36</v>
      </c>
      <c r="C12" s="33" t="s">
        <v>32</v>
      </c>
      <c r="D12" s="39">
        <f>SUMIFS(Tabela1[QNT],Tabela1[SITUAÇÃO],"ENTRADA",Tabela1[PRODUTO],ESTOQUE!B12)</f>
        <v>0</v>
      </c>
      <c r="E12" s="39">
        <f>SUMIFS(Tabela1[QNT],Tabela1[SITUAÇÃO],"SAÍDA",Tabela1[PRODUTO],ESTOQUE!B12)</f>
        <v>0</v>
      </c>
      <c r="F12" s="39">
        <f>SUMIFS(Tabela1[QNT],Tabela1[SITUAÇÃO],"DOAÇÃO ENTRADA",Tabela1[PRODUTO],ESTOQUE!B12)</f>
        <v>0</v>
      </c>
      <c r="G12" s="39">
        <f>SUMIFS(Tabela1[QNT],Tabela1[SITUAÇÃO],"DOAÇÃO SAÍDA",Tabela1[PRODUTO],ESTOQUE!B12)</f>
        <v>0</v>
      </c>
      <c r="H12" s="40">
        <f>SUMIFS(Tabela1[QNT],Tabela1[SITUAÇÃO],"PERMUTA ENTRADA",Tabela1[PRODUTO],ESTOQUE!B12)</f>
        <v>0</v>
      </c>
      <c r="I12" s="40">
        <f>SUMIFS(Tabela1[QNT],Tabela1[SITUAÇÃO],"PERMUTA SAÍDA",Tabela1[PRODUTO],ESTOQUE!B12)</f>
        <v>0</v>
      </c>
      <c r="J12" s="40">
        <f>SUMIFS(Tabela1[QNT],Tabela1[SITUAÇÃO],"PERDA",Tabela1[PRODUTO],ESTOQUE!B12)</f>
        <v>0</v>
      </c>
      <c r="K12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2" s="149" t="str">
        <f>IF(K12&lt;=Lista!B23,"COMPRAR ABAIXO 2700","OK")</f>
        <v>COMPRAR ABAIXO 2700</v>
      </c>
    </row>
    <row r="13" spans="1:13" x14ac:dyDescent="0.25">
      <c r="B13" s="38" t="s">
        <v>37</v>
      </c>
      <c r="C13" s="33" t="s">
        <v>32</v>
      </c>
      <c r="D13" s="39">
        <f>SUMIFS(Tabela1[QNT],Tabela1[SITUAÇÃO],"ENTRADA",Tabela1[PRODUTO],ESTOQUE!B13)</f>
        <v>0</v>
      </c>
      <c r="E13" s="39">
        <f>SUMIFS(Tabela1[QNT],Tabela1[SITUAÇÃO],"SAÍDA",Tabela1[PRODUTO],ESTOQUE!B13)</f>
        <v>0</v>
      </c>
      <c r="F13" s="39">
        <f>SUMIFS(Tabela1[QNT],Tabela1[SITUAÇÃO],"DOAÇÃO ENTRADA",Tabela1[PRODUTO],ESTOQUE!B13)</f>
        <v>0</v>
      </c>
      <c r="G13" s="39">
        <f>SUMIFS(Tabela1[QNT],Tabela1[SITUAÇÃO],"DOAÇÃO SAÍDA",Tabela1[PRODUTO],ESTOQUE!B13)</f>
        <v>0</v>
      </c>
      <c r="H13" s="40">
        <f>SUMIFS(Tabela1[QNT],Tabela1[SITUAÇÃO],"PERMUTA ENTRADA",Tabela1[PRODUTO],ESTOQUE!B13)</f>
        <v>0</v>
      </c>
      <c r="I13" s="40">
        <f>SUMIFS(Tabela1[QNT],Tabela1[SITUAÇÃO],"PERMUTA SAÍDA",Tabela1[PRODUTO],ESTOQUE!B13)</f>
        <v>0</v>
      </c>
      <c r="J13" s="40">
        <f>SUMIFS(Tabela1[QNT],Tabela1[SITUAÇÃO],"PERDA",Tabela1[PRODUTO],ESTOQUE!B13)</f>
        <v>0</v>
      </c>
      <c r="K13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3" s="149" t="str">
        <f>IF(K13&lt;=Lista!B24,"COMPRAR ABAIXO 330","OK")</f>
        <v>COMPRAR ABAIXO 330</v>
      </c>
    </row>
    <row r="14" spans="1:13" x14ac:dyDescent="0.25">
      <c r="B14" s="38" t="s">
        <v>38</v>
      </c>
      <c r="C14" s="33" t="s">
        <v>39</v>
      </c>
      <c r="D14" s="39">
        <f>SUMIFS(Tabela1[QNT],Tabela1[SITUAÇÃO],"ENTRADA",Tabela1[PRODUTO],ESTOQUE!B14)</f>
        <v>0</v>
      </c>
      <c r="E14" s="39">
        <f>SUMIFS(Tabela1[QNT],Tabela1[SITUAÇÃO],"SAÍDA",Tabela1[PRODUTO],ESTOQUE!B14)</f>
        <v>0</v>
      </c>
      <c r="F14" s="39">
        <f>SUMIFS(Tabela1[QNT],Tabela1[SITUAÇÃO],"DOAÇÃO ENTRADA",Tabela1[PRODUTO],ESTOQUE!B14)</f>
        <v>0</v>
      </c>
      <c r="G14" s="39">
        <f>SUMIFS(Tabela1[QNT],Tabela1[SITUAÇÃO],"DOAÇÃO SAÍDA",Tabela1[PRODUTO],ESTOQUE!B14)</f>
        <v>0</v>
      </c>
      <c r="H14" s="40">
        <f>SUMIFS(Tabela1[QNT],Tabela1[SITUAÇÃO],"PERMUTA ENTRADA",Tabela1[PRODUTO],ESTOQUE!B14)</f>
        <v>0</v>
      </c>
      <c r="I14" s="40">
        <f>SUMIFS(Tabela1[QNT],Tabela1[SITUAÇÃO],"PERMUTA SAÍDA",Tabela1[PRODUTO],ESTOQUE!B14)</f>
        <v>0</v>
      </c>
      <c r="J14" s="40">
        <f>SUMIFS(Tabela1[QNT],Tabela1[SITUAÇÃO],"PERDA",Tabela1[PRODUTO],ESTOQUE!B14)</f>
        <v>0</v>
      </c>
      <c r="K14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4" s="149" t="str">
        <f>IF(K14&lt;=Lista!B25,"COMPRAR ABAIXO 1340","OK")</f>
        <v>COMPRAR ABAIXO 1340</v>
      </c>
    </row>
    <row r="15" spans="1:13" x14ac:dyDescent="0.25">
      <c r="B15" s="38" t="s">
        <v>40</v>
      </c>
      <c r="C15" s="33" t="s">
        <v>32</v>
      </c>
      <c r="D15" s="39">
        <f>SUMIFS(Tabela1[QNT],Tabela1[SITUAÇÃO],"ENTRADA",Tabela1[PRODUTO],ESTOQUE!B15)</f>
        <v>0</v>
      </c>
      <c r="E15" s="39">
        <f>SUMIFS(Tabela1[QNT],Tabela1[SITUAÇÃO],"SAÍDA",Tabela1[PRODUTO],ESTOQUE!B15)</f>
        <v>0</v>
      </c>
      <c r="F15" s="39">
        <f>SUMIFS(Tabela1[QNT],Tabela1[SITUAÇÃO],"DOAÇÃO ENTRADA",Tabela1[PRODUTO],ESTOQUE!B15)</f>
        <v>0</v>
      </c>
      <c r="G15" s="39">
        <f>SUMIFS(Tabela1[QNT],Tabela1[SITUAÇÃO],"DOAÇÃO SAÍDA",Tabela1[PRODUTO],ESTOQUE!B15)</f>
        <v>0</v>
      </c>
      <c r="H15" s="40">
        <f>SUMIFS(Tabela1[QNT],Tabela1[SITUAÇÃO],"PERMUTA ENTRADA",Tabela1[PRODUTO],ESTOQUE!B15)</f>
        <v>0</v>
      </c>
      <c r="I15" s="40">
        <f>SUMIFS(Tabela1[QNT],Tabela1[SITUAÇÃO],"PERMUTA SAÍDA",Tabela1[PRODUTO],ESTOQUE!B15)</f>
        <v>0</v>
      </c>
      <c r="J15" s="40">
        <f>SUMIFS(Tabela1[QNT],Tabela1[SITUAÇÃO],"PERDA",Tabela1[PRODUTO],ESTOQUE!B15)</f>
        <v>0</v>
      </c>
      <c r="K15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5" s="149" t="str">
        <f>IF(K15&lt;=Lista!B26,"COMPRAR810 ","OK")</f>
        <v xml:space="preserve">COMPRAR810 </v>
      </c>
    </row>
    <row r="16" spans="1:13" x14ac:dyDescent="0.25">
      <c r="B16" s="38" t="s">
        <v>41</v>
      </c>
      <c r="C16" s="33" t="s">
        <v>32</v>
      </c>
      <c r="D16" s="39">
        <f>SUMIFS(Tabela1[QNT],Tabela1[SITUAÇÃO],"ENTRADA",Tabela1[PRODUTO],ESTOQUE!B16)</f>
        <v>0</v>
      </c>
      <c r="E16" s="39">
        <f>SUMIFS(Tabela1[QNT],Tabela1[SITUAÇÃO],"SAÍDA",Tabela1[PRODUTO],ESTOQUE!B16)</f>
        <v>0</v>
      </c>
      <c r="F16" s="39">
        <f>SUMIFS(Tabela1[QNT],Tabela1[SITUAÇÃO],"DOAÇÃO ENTRADA",Tabela1[PRODUTO],ESTOQUE!B16)</f>
        <v>0</v>
      </c>
      <c r="G16" s="39">
        <f>SUMIFS(Tabela1[QNT],Tabela1[SITUAÇÃO],"DOAÇÃO SAÍDA",Tabela1[PRODUTO],ESTOQUE!B16)</f>
        <v>0</v>
      </c>
      <c r="H16" s="40">
        <f>SUMIFS(Tabela1[QNT],Tabela1[SITUAÇÃO],"PERMUTA ENTRADA",Tabela1[PRODUTO],ESTOQUE!B16)</f>
        <v>0</v>
      </c>
      <c r="I16" s="40">
        <f>SUMIFS(Tabela1[QNT],Tabela1[SITUAÇÃO],"PERMUTA SAÍDA",Tabela1[PRODUTO],ESTOQUE!B16)</f>
        <v>0</v>
      </c>
      <c r="J16" s="40">
        <f>SUMIFS(Tabela1[QNT],Tabela1[SITUAÇÃO],"PERDA",Tabela1[PRODUTO],ESTOQUE!B16)</f>
        <v>0</v>
      </c>
      <c r="K16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6" s="149" t="str">
        <f>IF(K16&lt;=Lista!B27,"COMPRAR ABAIXO 1630","OK")</f>
        <v>COMPRAR ABAIXO 1630</v>
      </c>
    </row>
    <row r="17" spans="2:12" x14ac:dyDescent="0.25">
      <c r="B17" s="41" t="s">
        <v>42</v>
      </c>
      <c r="C17" s="33" t="s">
        <v>39</v>
      </c>
      <c r="D17" s="39">
        <f>SUMIFS(Tabela1[QNT],Tabela1[SITUAÇÃO],"ENTRADA",Tabela1[PRODUTO],ESTOQUE!B17)</f>
        <v>0</v>
      </c>
      <c r="E17" s="39">
        <f>SUMIFS(Tabela1[QNT],Tabela1[SITUAÇÃO],"SAÍDA",Tabela1[PRODUTO],ESTOQUE!B17)</f>
        <v>0</v>
      </c>
      <c r="F17" s="39">
        <f>SUMIFS(Tabela1[QNT],Tabela1[SITUAÇÃO],"DOAÇÃO ENTRADA",Tabela1[PRODUTO],ESTOQUE!B17)</f>
        <v>0</v>
      </c>
      <c r="G17" s="39">
        <f>SUMIFS(Tabela1[QNT],Tabela1[SITUAÇÃO],"DOAÇÃO SAÍDA",Tabela1[PRODUTO],ESTOQUE!B17)</f>
        <v>0</v>
      </c>
      <c r="H17" s="40">
        <f>SUMIFS(Tabela1[QNT],Tabela1[SITUAÇÃO],"PERMUTA ENTRADA",Tabela1[PRODUTO],ESTOQUE!B17)</f>
        <v>0</v>
      </c>
      <c r="I17" s="40">
        <f>SUMIFS(Tabela1[QNT],Tabela1[SITUAÇÃO],"PERMUTA SAÍDA",Tabela1[PRODUTO],ESTOQUE!B17)</f>
        <v>0</v>
      </c>
      <c r="J17" s="40">
        <f>SUMIFS(Tabela1[QNT],Tabela1[SITUAÇÃO],"PERDA",Tabela1[PRODUTO],ESTOQUE!B17)</f>
        <v>0</v>
      </c>
      <c r="K17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7" s="149" t="str">
        <f>IF(K17&lt;=Lista!B28,"OK","OK")</f>
        <v>OK</v>
      </c>
    </row>
    <row r="18" spans="2:12" x14ac:dyDescent="0.25">
      <c r="B18" s="38" t="s">
        <v>43</v>
      </c>
      <c r="C18" s="33" t="s">
        <v>39</v>
      </c>
      <c r="D18" s="39">
        <f>SUMIFS(Tabela1[QNT],Tabela1[SITUAÇÃO],"ENTRADA",Tabela1[PRODUTO],ESTOQUE!B18)</f>
        <v>0</v>
      </c>
      <c r="E18" s="39">
        <f>SUMIFS(Tabela1[QNT],Tabela1[SITUAÇÃO],"SAÍDA",Tabela1[PRODUTO],ESTOQUE!B18)</f>
        <v>0</v>
      </c>
      <c r="F18" s="39">
        <f>SUMIFS(Tabela1[QNT],Tabela1[SITUAÇÃO],"DOAÇÃO ENTRADA",Tabela1[PRODUTO],ESTOQUE!B18)</f>
        <v>0</v>
      </c>
      <c r="G18" s="39">
        <f>SUMIFS(Tabela1[QNT],Tabela1[SITUAÇÃO],"DOAÇÃO SAÍDA",Tabela1[PRODUTO],ESTOQUE!B18)</f>
        <v>0</v>
      </c>
      <c r="H18" s="40">
        <f>SUMIFS(Tabela1[QNT],Tabela1[SITUAÇÃO],"PERMUTA ENTRADA",Tabela1[PRODUTO],ESTOQUE!B18)</f>
        <v>0</v>
      </c>
      <c r="I18" s="40">
        <f>SUMIFS(Tabela1[QNT],Tabela1[SITUAÇÃO],"PERMUTA SAÍDA",Tabela1[PRODUTO],ESTOQUE!B18)</f>
        <v>0</v>
      </c>
      <c r="J18" s="40">
        <f>SUMIFS(Tabela1[QNT],Tabela1[SITUAÇÃO],"PERDA",Tabela1[PRODUTO],ESTOQUE!B18)</f>
        <v>0</v>
      </c>
      <c r="K18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8" s="149" t="str">
        <f>IF(K18&lt;=Lista!B29,"COMPRAR ABAIXO 500","OK")</f>
        <v>COMPRAR ABAIXO 500</v>
      </c>
    </row>
    <row r="19" spans="2:12" x14ac:dyDescent="0.25">
      <c r="B19" s="38" t="s">
        <v>44</v>
      </c>
      <c r="C19" s="33" t="s">
        <v>39</v>
      </c>
      <c r="D19" s="39">
        <f>SUMIFS(Tabela1[QNT],Tabela1[SITUAÇÃO],"ENTRADA",Tabela1[PRODUTO],ESTOQUE!B19)</f>
        <v>0</v>
      </c>
      <c r="E19" s="39">
        <f>SUMIFS(Tabela1[QNT],Tabela1[SITUAÇÃO],"SAÍDA",Tabela1[PRODUTO],ESTOQUE!B19)</f>
        <v>0</v>
      </c>
      <c r="F19" s="39">
        <f>SUMIFS(Tabela1[QNT],Tabela1[SITUAÇÃO],"DOAÇÃO ENTRADA",Tabela1[PRODUTO],ESTOQUE!B19)</f>
        <v>0</v>
      </c>
      <c r="G19" s="39">
        <f>SUMIFS(Tabela1[QNT],Tabela1[SITUAÇÃO],"DOAÇÃO SAÍDA",Tabela1[PRODUTO],ESTOQUE!B19)</f>
        <v>0</v>
      </c>
      <c r="H19" s="40">
        <f>SUMIFS(Tabela1[QNT],Tabela1[SITUAÇÃO],"PERMUTA ENTRADA",Tabela1[PRODUTO],ESTOQUE!B19)</f>
        <v>0</v>
      </c>
      <c r="I19" s="40">
        <f>SUMIFS(Tabela1[QNT],Tabela1[SITUAÇÃO],"PERMUTA SAÍDA",Tabela1[PRODUTO],ESTOQUE!B19)</f>
        <v>0</v>
      </c>
      <c r="J19" s="40">
        <f>SUMIFS(Tabela1[QNT],Tabela1[SITUAÇÃO],"PERDA",Tabela1[PRODUTO],ESTOQUE!B19)</f>
        <v>0</v>
      </c>
      <c r="K19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19" s="149" t="str">
        <f>IF(K19&lt;=Lista!B30,"COMPRAR ABAIXO 910","OK")</f>
        <v>COMPRAR ABAIXO 910</v>
      </c>
    </row>
    <row r="20" spans="2:12" x14ac:dyDescent="0.25">
      <c r="B20" s="38" t="s">
        <v>45</v>
      </c>
      <c r="C20" s="33" t="s">
        <v>39</v>
      </c>
      <c r="D20" s="39">
        <f>SUMIFS(Tabela1[QNT],Tabela1[SITUAÇÃO],"ENTRADA",Tabela1[PRODUTO],ESTOQUE!B20)</f>
        <v>0</v>
      </c>
      <c r="E20" s="39">
        <f>SUMIFS(Tabela1[QNT],Tabela1[SITUAÇÃO],"SAÍDA",Tabela1[PRODUTO],ESTOQUE!B20)</f>
        <v>0</v>
      </c>
      <c r="F20" s="39">
        <f>SUMIFS(Tabela1[QNT],Tabela1[SITUAÇÃO],"DOAÇÃO ENTRADA",Tabela1[PRODUTO],ESTOQUE!B20)</f>
        <v>0</v>
      </c>
      <c r="G20" s="39">
        <f>SUMIFS(Tabela1[QNT],Tabela1[SITUAÇÃO],"DOAÇÃO SAÍDA",Tabela1[PRODUTO],ESTOQUE!B20)</f>
        <v>0</v>
      </c>
      <c r="H20" s="40">
        <f>SUMIFS(Tabela1[QNT],Tabela1[SITUAÇÃO],"PERMUTA ENTRADA",Tabela1[PRODUTO],ESTOQUE!B20)</f>
        <v>0</v>
      </c>
      <c r="I20" s="40">
        <f>SUMIFS(Tabela1[QNT],Tabela1[SITUAÇÃO],"PERMUTA SAÍDA",Tabela1[PRODUTO],ESTOQUE!B20)</f>
        <v>0</v>
      </c>
      <c r="J20" s="40">
        <f>SUMIFS(Tabela1[QNT],Tabela1[SITUAÇÃO],"PERDA",Tabela1[PRODUTO],ESTOQUE!B20)</f>
        <v>0</v>
      </c>
      <c r="K20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0" s="149" t="str">
        <f>IF(K20&lt;=Lista!B31,"COMPRAR ABAIXO 500","OK")</f>
        <v>COMPRAR ABAIXO 500</v>
      </c>
    </row>
    <row r="21" spans="2:12" x14ac:dyDescent="0.25">
      <c r="B21" s="38" t="s">
        <v>46</v>
      </c>
      <c r="C21" s="33" t="s">
        <v>39</v>
      </c>
      <c r="D21" s="39">
        <f>SUMIFS(Tabela1[QNT],Tabela1[SITUAÇÃO],"ENTRADA",Tabela1[PRODUTO],ESTOQUE!B21)</f>
        <v>0</v>
      </c>
      <c r="E21" s="39">
        <f>SUMIFS(Tabela1[QNT],Tabela1[SITUAÇÃO],"SAÍDA",Tabela1[PRODUTO],ESTOQUE!B21)</f>
        <v>0</v>
      </c>
      <c r="F21" s="39">
        <f>SUMIFS(Tabela1[QNT],Tabela1[SITUAÇÃO],"DOAÇÃO ENTRADA",Tabela1[PRODUTO],ESTOQUE!B21)</f>
        <v>0</v>
      </c>
      <c r="G21" s="39">
        <f>SUMIFS(Tabela1[QNT],Tabela1[SITUAÇÃO],"DOAÇÃO SAÍDA",Tabela1[PRODUTO],ESTOQUE!B21)</f>
        <v>0</v>
      </c>
      <c r="H21" s="40">
        <f>SUMIFS(Tabela1[QNT],Tabela1[SITUAÇÃO],"PERMUTA ENTRADA",Tabela1[PRODUTO],ESTOQUE!B21)</f>
        <v>0</v>
      </c>
      <c r="I21" s="40">
        <f>SUMIFS(Tabela1[QNT],Tabela1[SITUAÇÃO],"PERMUTA SAÍDA",Tabela1[PRODUTO],ESTOQUE!B21)</f>
        <v>0</v>
      </c>
      <c r="J21" s="40">
        <f>SUMIFS(Tabela1[QNT],Tabela1[SITUAÇÃO],"PERDA",Tabela1[PRODUTO],ESTOQUE!B21)</f>
        <v>0</v>
      </c>
      <c r="K21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1" s="149" t="str">
        <f>IF(K21&lt;=Lista!B32,"COMPRAR ABAIXO 650","OK")</f>
        <v>COMPRAR ABAIXO 650</v>
      </c>
    </row>
    <row r="22" spans="2:12" x14ac:dyDescent="0.25">
      <c r="B22" s="38" t="s">
        <v>47</v>
      </c>
      <c r="C22" s="33" t="s">
        <v>39</v>
      </c>
      <c r="D22" s="39">
        <f>SUMIFS(Tabela1[QNT],Tabela1[SITUAÇÃO],"ENTRADA",Tabela1[PRODUTO],ESTOQUE!B22)</f>
        <v>0</v>
      </c>
      <c r="E22" s="39">
        <f>SUMIFS(Tabela1[QNT],Tabela1[SITUAÇÃO],"SAÍDA",Tabela1[PRODUTO],ESTOQUE!B22)</f>
        <v>0</v>
      </c>
      <c r="F22" s="39">
        <f>SUMIFS(Tabela1[QNT],Tabela1[SITUAÇÃO],"DOAÇÃO ENTRADA",Tabela1[PRODUTO],ESTOQUE!B22)</f>
        <v>0</v>
      </c>
      <c r="G22" s="39">
        <f>SUMIFS(Tabela1[QNT],Tabela1[SITUAÇÃO],"DOAÇÃO SAÍDA",Tabela1[PRODUTO],ESTOQUE!B22)</f>
        <v>0</v>
      </c>
      <c r="H22" s="40">
        <f>SUMIFS(Tabela1[QNT],Tabela1[SITUAÇÃO],"PERMUTA ENTRADA",Tabela1[PRODUTO],ESTOQUE!B22)</f>
        <v>0</v>
      </c>
      <c r="I22" s="40">
        <f>SUMIFS(Tabela1[QNT],Tabela1[SITUAÇÃO],"PERMUTA SAÍDA",Tabela1[PRODUTO],ESTOQUE!B22)</f>
        <v>0</v>
      </c>
      <c r="J22" s="40">
        <f>SUMIFS(Tabela1[QNT],Tabela1[SITUAÇÃO],"PERDA",Tabela1[PRODUTO],ESTOQUE!B22)</f>
        <v>0</v>
      </c>
      <c r="K22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2" s="149" t="str">
        <f>IF(K22&lt;=Lista!B33,"COMPRAR ABAIXO 300","OK")</f>
        <v>COMPRAR ABAIXO 300</v>
      </c>
    </row>
    <row r="23" spans="2:12" x14ac:dyDescent="0.25">
      <c r="B23" s="38" t="s">
        <v>48</v>
      </c>
      <c r="C23" s="33" t="s">
        <v>39</v>
      </c>
      <c r="D23" s="39">
        <f>SUMIFS(Tabela1[QNT],Tabela1[SITUAÇÃO],"ENTRADA",Tabela1[PRODUTO],ESTOQUE!B23)</f>
        <v>0</v>
      </c>
      <c r="E23" s="39">
        <f>SUMIFS(Tabela1[QNT],Tabela1[SITUAÇÃO],"SAÍDA",Tabela1[PRODUTO],ESTOQUE!B23)</f>
        <v>0</v>
      </c>
      <c r="F23" s="39">
        <f>SUMIFS(Tabela1[QNT],Tabela1[SITUAÇÃO],"DOAÇÃO ENTRADA",Tabela1[PRODUTO],ESTOQUE!B23)</f>
        <v>0</v>
      </c>
      <c r="G23" s="39">
        <f>SUMIFS(Tabela1[QNT],Tabela1[SITUAÇÃO],"DOAÇÃO SAÍDA",Tabela1[PRODUTO],ESTOQUE!B23)</f>
        <v>0</v>
      </c>
      <c r="H23" s="40">
        <f>SUMIFS(Tabela1[QNT],Tabela1[SITUAÇÃO],"PERMUTA ENTRADA",Tabela1[PRODUTO],ESTOQUE!B23)</f>
        <v>0</v>
      </c>
      <c r="I23" s="40">
        <f>SUMIFS(Tabela1[QNT],Tabela1[SITUAÇÃO],"PERMUTA SAÍDA",Tabela1[PRODUTO],ESTOQUE!B23)</f>
        <v>0</v>
      </c>
      <c r="J23" s="40">
        <f>SUMIFS(Tabela1[QNT],Tabela1[SITUAÇÃO],"PERDA",Tabela1[PRODUTO],ESTOQUE!B23)</f>
        <v>0</v>
      </c>
      <c r="K23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3" s="149" t="str">
        <f>IF(K23&lt;=Lista!B34,"COMPRAR ABAIXO 700","OK")</f>
        <v>COMPRAR ABAIXO 700</v>
      </c>
    </row>
    <row r="24" spans="2:12" x14ac:dyDescent="0.25">
      <c r="B24" s="38" t="s">
        <v>49</v>
      </c>
      <c r="C24" s="33" t="s">
        <v>39</v>
      </c>
      <c r="D24" s="39">
        <f>SUMIFS(Tabela1[QNT],Tabela1[SITUAÇÃO],"ENTRADA",Tabela1[PRODUTO],ESTOQUE!B24)</f>
        <v>0</v>
      </c>
      <c r="E24" s="39">
        <f>SUMIFS(Tabela1[QNT],Tabela1[SITUAÇÃO],"SAÍDA",Tabela1[PRODUTO],ESTOQUE!B24)</f>
        <v>0</v>
      </c>
      <c r="F24" s="39">
        <f>SUMIFS(Tabela1[QNT],Tabela1[SITUAÇÃO],"DOAÇÃO ENTRADA",Tabela1[PRODUTO],ESTOQUE!B24)</f>
        <v>0</v>
      </c>
      <c r="G24" s="39">
        <f>SUMIFS(Tabela1[QNT],Tabela1[SITUAÇÃO],"DOAÇÃO SAÍDA",Tabela1[PRODUTO],ESTOQUE!B24)</f>
        <v>0</v>
      </c>
      <c r="H24" s="40">
        <f>SUMIFS(Tabela1[QNT],Tabela1[SITUAÇÃO],"PERMUTA ENTRADA",Tabela1[PRODUTO],ESTOQUE!B24)</f>
        <v>0</v>
      </c>
      <c r="I24" s="40">
        <f>SUMIFS(Tabela1[QNT],Tabela1[SITUAÇÃO],"PERMUTA SAÍDA",Tabela1[PRODUTO],ESTOQUE!B24)</f>
        <v>0</v>
      </c>
      <c r="J24" s="40">
        <f>SUMIFS(Tabela1[QNT],Tabela1[SITUAÇÃO],"PERDA",Tabela1[PRODUTO],ESTOQUE!B24)</f>
        <v>0</v>
      </c>
      <c r="K24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4" s="149" t="str">
        <f>IF(K24&lt;=Lista!B35,"COMPRAR ABAIXO 700","OK")</f>
        <v>COMPRAR ABAIXO 700</v>
      </c>
    </row>
    <row r="25" spans="2:12" x14ac:dyDescent="0.25">
      <c r="B25" s="41" t="s">
        <v>50</v>
      </c>
      <c r="C25" s="33" t="s">
        <v>39</v>
      </c>
      <c r="D25" s="39">
        <f>SUMIFS(Tabela1[QNT],Tabela1[SITUAÇÃO],"ENTRADA",Tabela1[PRODUTO],ESTOQUE!B25)</f>
        <v>0</v>
      </c>
      <c r="E25" s="39">
        <f>SUMIFS(Tabela1[QNT],Tabela1[SITUAÇÃO],"SAÍDA",Tabela1[PRODUTO],ESTOQUE!B25)</f>
        <v>0</v>
      </c>
      <c r="F25" s="39">
        <f>SUMIFS(Tabela1[QNT],Tabela1[SITUAÇÃO],"DOAÇÃO ENTRADA",Tabela1[PRODUTO],ESTOQUE!B25)</f>
        <v>0</v>
      </c>
      <c r="G25" s="39">
        <f>SUMIFS(Tabela1[QNT],Tabela1[SITUAÇÃO],"DOAÇÃO SAÍDA",Tabela1[PRODUTO],ESTOQUE!B25)</f>
        <v>0</v>
      </c>
      <c r="H25" s="40">
        <f>SUMIFS(Tabela1[QNT],Tabela1[SITUAÇÃO],"PERMUTA ENTRADA",Tabela1[PRODUTO],ESTOQUE!B25)</f>
        <v>0</v>
      </c>
      <c r="I25" s="40">
        <f>SUMIFS(Tabela1[QNT],Tabela1[SITUAÇÃO],"PERMUTA SAÍDA",Tabela1[PRODUTO],ESTOQUE!B25)</f>
        <v>0</v>
      </c>
      <c r="J25" s="40">
        <f>SUMIFS(Tabela1[QNT],Tabela1[SITUAÇÃO],"PERDA",Tabela1[PRODUTO],ESTOQUE!B25)</f>
        <v>0</v>
      </c>
      <c r="K25" s="39">
        <f>Tabela3[[#This Row],[Entrada]]+Tabela3[[#This Row],[Doação Entrada]]+Tabela3[[#This Row],[Permuta Entrada]]-Tabela3[[#This Row],[Saída]]-Tabela3[[#This Row],[Doação Saída]]-Tabela3[[#This Row],[Permuta Saída]]-Tabela3[[#This Row],[Perda]]</f>
        <v>0</v>
      </c>
      <c r="L25" s="149" t="str">
        <f>IF(K25&lt;=Lista!B36,"COMPRAR ABAIXO 20","OK")</f>
        <v>COMPRAR ABAIXO 20</v>
      </c>
    </row>
    <row r="26" spans="2:12" x14ac:dyDescent="0.25"/>
    <row r="27" spans="2:12" hidden="1" x14ac:dyDescent="0.25"/>
  </sheetData>
  <mergeCells count="3">
    <mergeCell ref="K4:K5"/>
    <mergeCell ref="L4:L5"/>
    <mergeCell ref="C4:J5"/>
  </mergeCells>
  <conditionalFormatting sqref="L8:L25">
    <cfRule type="containsText" dxfId="64" priority="1" operator="containsText" text="DOAÇÃO">
      <formula>NOT(ISERROR(SEARCH("DOAÇÃO",L8)))</formula>
    </cfRule>
    <cfRule type="containsText" dxfId="63" priority="2" operator="containsText" text="COMPRAR">
      <formula>NOT(ISERROR(SEARCH("COMPRAR",L8)))</formula>
    </cfRule>
    <cfRule type="cellIs" dxfId="62" priority="3" operator="equal">
      <formula>"COMPRAR"</formula>
    </cfRule>
  </conditionalFormatting>
  <pageMargins left="0.51181102362204722" right="0.51181102362204722" top="0.78740157480314965" bottom="0.78740157480314965" header="0.31496062992125984" footer="0.31496062992125984"/>
  <pageSetup paperSize="9" scale="85" orientation="landscape" r:id="rId1"/>
  <headerFooter>
    <oddHeader>&amp;C
&amp;G</oddHeader>
    <oddFooter>&amp;RGerado pelo sistema Estoque Alimentar</oddFooter>
  </headerFooter>
  <ignoredErrors>
    <ignoredError sqref="F8:H8" calculatedColumn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Imprimir">
                <anchor moveWithCells="1" sizeWithCells="1">
                  <from>
                    <xdr:col>11</xdr:col>
                    <xdr:colOff>428625</xdr:colOff>
                    <xdr:row>0</xdr:row>
                    <xdr:rowOff>66675</xdr:rowOff>
                  </from>
                  <to>
                    <xdr:col>11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V110"/>
  <sheetViews>
    <sheetView showGridLines="0" showRowColHeaders="0" zoomScale="85" zoomScaleNormal="85" workbookViewId="0">
      <pane ySplit="7" topLeftCell="A8" activePane="bottomLeft" state="frozen"/>
      <selection activeCell="H26" sqref="H26"/>
      <selection pane="bottomLeft"/>
    </sheetView>
  </sheetViews>
  <sheetFormatPr defaultColWidth="0" defaultRowHeight="15" zeroHeight="1" x14ac:dyDescent="0.25"/>
  <cols>
    <col min="1" max="1" width="2.7109375" customWidth="1"/>
    <col min="2" max="2" width="4.7109375" style="93" customWidth="1"/>
    <col min="3" max="3" width="12.140625" style="93" bestFit="1" customWidth="1"/>
    <col min="4" max="4" width="13.28515625" style="93" bestFit="1" customWidth="1"/>
    <col min="5" max="5" width="20" style="93" bestFit="1" customWidth="1"/>
    <col min="6" max="6" width="33.85546875" style="93" bestFit="1" customWidth="1"/>
    <col min="7" max="7" width="9.42578125" style="93" customWidth="1"/>
    <col min="8" max="8" width="12.42578125" style="93" customWidth="1"/>
    <col min="9" max="9" width="15.42578125" style="93" bestFit="1" customWidth="1"/>
    <col min="10" max="10" width="15.85546875" style="93" customWidth="1"/>
    <col min="11" max="11" width="12.42578125" style="126" customWidth="1"/>
    <col min="12" max="12" width="12.42578125" style="93" customWidth="1"/>
    <col min="13" max="13" width="15.85546875" style="121" customWidth="1"/>
    <col min="14" max="14" width="4" customWidth="1"/>
    <col min="15" max="15" width="13.28515625" hidden="1" customWidth="1"/>
    <col min="16" max="16" width="9.28515625" hidden="1" customWidth="1"/>
    <col min="17" max="17" width="12.140625" hidden="1" customWidth="1"/>
    <col min="18" max="18" width="4.140625" hidden="1" customWidth="1"/>
    <col min="19" max="19" width="13.28515625" hidden="1" customWidth="1"/>
    <col min="20" max="20" width="12.140625" hidden="1" customWidth="1"/>
    <col min="21" max="22" width="13.5703125" hidden="1" customWidth="1"/>
    <col min="23" max="16384" width="9.140625" hidden="1"/>
  </cols>
  <sheetData>
    <row r="1" spans="1:13" s="14" customFormat="1" ht="15.75" customHeight="1" x14ac:dyDescent="0.25">
      <c r="E1" s="30"/>
    </row>
    <row r="2" spans="1:13" s="14" customFormat="1" x14ac:dyDescent="0.25">
      <c r="E2" s="30"/>
    </row>
    <row r="3" spans="1:13" s="15" customFormat="1" ht="9.75" customHeight="1" x14ac:dyDescent="0.25">
      <c r="E3" s="31"/>
    </row>
    <row r="4" spans="1:13" ht="9.75" customHeight="1" x14ac:dyDescent="0.25">
      <c r="A4" s="23"/>
      <c r="B4" s="23"/>
      <c r="C4" s="23"/>
      <c r="D4" s="23"/>
      <c r="E4" s="32"/>
      <c r="F4" s="23"/>
      <c r="G4" s="23"/>
      <c r="H4" s="23"/>
      <c r="I4" s="14"/>
      <c r="J4" s="14"/>
      <c r="K4" s="14"/>
      <c r="L4" s="14"/>
      <c r="M4" s="14"/>
    </row>
    <row r="5" spans="1:13" x14ac:dyDescent="0.25">
      <c r="A5" s="23"/>
      <c r="B5" s="23"/>
      <c r="C5" s="23"/>
      <c r="D5" s="23"/>
      <c r="E5" s="32"/>
      <c r="F5" s="23"/>
      <c r="G5" s="23"/>
      <c r="H5" s="23"/>
      <c r="I5" s="14"/>
      <c r="J5" s="14"/>
      <c r="K5" s="14"/>
      <c r="L5" s="14"/>
      <c r="M5" s="14"/>
    </row>
    <row r="6" spans="1:13" s="16" customFormat="1" ht="8.25" customHeight="1" x14ac:dyDescent="0.25">
      <c r="A6" s="139"/>
      <c r="B6" s="139"/>
      <c r="C6" s="139"/>
      <c r="D6" s="139"/>
      <c r="E6" s="140"/>
      <c r="F6" s="139"/>
      <c r="G6" s="139"/>
      <c r="H6" s="139"/>
    </row>
    <row r="7" spans="1:13" ht="30" customHeight="1" x14ac:dyDescent="0.25">
      <c r="B7" s="125" t="s">
        <v>12</v>
      </c>
      <c r="C7" s="125" t="s">
        <v>132</v>
      </c>
      <c r="D7" s="119" t="s">
        <v>131</v>
      </c>
      <c r="E7" s="125" t="s">
        <v>93</v>
      </c>
      <c r="F7" s="137" t="s">
        <v>92</v>
      </c>
      <c r="G7" s="137" t="s">
        <v>91</v>
      </c>
      <c r="H7" s="125" t="s">
        <v>90</v>
      </c>
      <c r="I7" s="125" t="s">
        <v>89</v>
      </c>
      <c r="J7" s="125" t="s">
        <v>88</v>
      </c>
      <c r="K7" s="136" t="s">
        <v>87</v>
      </c>
      <c r="L7" s="125" t="s">
        <v>86</v>
      </c>
      <c r="M7" s="125" t="s">
        <v>85</v>
      </c>
    </row>
    <row r="8" spans="1:13" ht="15.75" x14ac:dyDescent="0.25">
      <c r="B8" s="93">
        <v>1</v>
      </c>
      <c r="C8" s="93" t="str">
        <f t="shared" ref="C8:C53" si="0">CONCATENATE(D8,B8)</f>
        <v>CB1A1</v>
      </c>
      <c r="D8" s="93" t="str">
        <f t="shared" ref="D8:D39" si="1">IF(E8="Cesta 1","CB1A",IF(E8="Cesta 2","CB2A",IF(E8="Cesta 3","CB3A",IF(E8="Cesta D","CBDA",IF(E8="Cesta 1/2","CB1/2A",IF(E8="Cesta 2/2","CB2/2A",IF(E8="Diversos","AVULSO",IF(E8="",""))))))))</f>
        <v>CB1A</v>
      </c>
      <c r="E8" s="92" t="s">
        <v>56</v>
      </c>
      <c r="F8" s="91" t="s">
        <v>31</v>
      </c>
      <c r="G8" s="91">
        <v>2.5</v>
      </c>
      <c r="H8" s="91" t="s">
        <v>32</v>
      </c>
      <c r="I8" s="135">
        <v>3.31</v>
      </c>
      <c r="J8" s="130">
        <f t="shared" ref="J8:J39" si="2">IF(I8=0.01,I8-I8,G8*I8)</f>
        <v>8.2750000000000004</v>
      </c>
      <c r="K8" s="98">
        <v>100</v>
      </c>
      <c r="L8" s="90">
        <f t="shared" ref="L8:L39" si="3">IF(G8&lt;&gt;"",G8*K8)</f>
        <v>250</v>
      </c>
      <c r="M8" s="85">
        <f t="shared" ref="M8:M16" si="4">IF(J8&lt;&gt;"",J8*K8)</f>
        <v>827.5</v>
      </c>
    </row>
    <row r="9" spans="1:13" ht="15.75" x14ac:dyDescent="0.25">
      <c r="B9" s="93">
        <v>2</v>
      </c>
      <c r="C9" s="93" t="str">
        <f t="shared" si="0"/>
        <v>CB1A2</v>
      </c>
      <c r="D9" s="93" t="str">
        <f t="shared" si="1"/>
        <v>CB1A</v>
      </c>
      <c r="E9" s="92" t="s">
        <v>56</v>
      </c>
      <c r="F9" s="91" t="s">
        <v>33</v>
      </c>
      <c r="G9" s="91">
        <v>1</v>
      </c>
      <c r="H9" s="91" t="s">
        <v>32</v>
      </c>
      <c r="I9" s="135">
        <v>8.48</v>
      </c>
      <c r="J9" s="130">
        <f t="shared" si="2"/>
        <v>8.48</v>
      </c>
      <c r="K9" s="98">
        <v>100</v>
      </c>
      <c r="L9" s="90">
        <f t="shared" si="3"/>
        <v>100</v>
      </c>
      <c r="M9" s="85">
        <f t="shared" si="4"/>
        <v>848</v>
      </c>
    </row>
    <row r="10" spans="1:13" ht="15.75" x14ac:dyDescent="0.25">
      <c r="B10" s="93">
        <v>3</v>
      </c>
      <c r="C10" s="93" t="str">
        <f t="shared" si="0"/>
        <v>CB1A3</v>
      </c>
      <c r="D10" s="93" t="str">
        <f t="shared" si="1"/>
        <v>CB1A</v>
      </c>
      <c r="E10" s="92" t="s">
        <v>56</v>
      </c>
      <c r="F10" s="91" t="s">
        <v>34</v>
      </c>
      <c r="G10" s="91">
        <v>1</v>
      </c>
      <c r="H10" s="91" t="s">
        <v>32</v>
      </c>
      <c r="I10" s="135">
        <v>2.85</v>
      </c>
      <c r="J10" s="130">
        <f t="shared" si="2"/>
        <v>2.85</v>
      </c>
      <c r="K10" s="98">
        <v>100</v>
      </c>
      <c r="L10" s="90">
        <f t="shared" si="3"/>
        <v>100</v>
      </c>
      <c r="M10" s="85">
        <f t="shared" si="4"/>
        <v>285</v>
      </c>
    </row>
    <row r="11" spans="1:13" ht="15.75" x14ac:dyDescent="0.25">
      <c r="B11" s="93">
        <v>4</v>
      </c>
      <c r="C11" s="93" t="str">
        <f t="shared" si="0"/>
        <v>CB1A4</v>
      </c>
      <c r="D11" s="93" t="str">
        <f t="shared" si="1"/>
        <v>CB1A</v>
      </c>
      <c r="E11" s="92" t="s">
        <v>56</v>
      </c>
      <c r="F11" s="91" t="s">
        <v>35</v>
      </c>
      <c r="G11" s="91">
        <v>1</v>
      </c>
      <c r="H11" s="91" t="s">
        <v>32</v>
      </c>
      <c r="I11" s="135">
        <v>3.43</v>
      </c>
      <c r="J11" s="130">
        <f t="shared" si="2"/>
        <v>3.43</v>
      </c>
      <c r="K11" s="98">
        <v>100</v>
      </c>
      <c r="L11" s="90">
        <f t="shared" si="3"/>
        <v>100</v>
      </c>
      <c r="M11" s="85">
        <f t="shared" si="4"/>
        <v>343</v>
      </c>
    </row>
    <row r="12" spans="1:13" ht="15.75" x14ac:dyDescent="0.25">
      <c r="B12" s="93">
        <v>5</v>
      </c>
      <c r="C12" s="93" t="str">
        <f t="shared" si="0"/>
        <v>CB1A5</v>
      </c>
      <c r="D12" s="93" t="str">
        <f t="shared" si="1"/>
        <v>CB1A</v>
      </c>
      <c r="E12" s="92" t="s">
        <v>56</v>
      </c>
      <c r="F12" s="91" t="s">
        <v>36</v>
      </c>
      <c r="G12" s="91">
        <v>1.5</v>
      </c>
      <c r="H12" s="91" t="s">
        <v>32</v>
      </c>
      <c r="I12" s="135">
        <v>4.4400000000000004</v>
      </c>
      <c r="J12" s="130">
        <f t="shared" si="2"/>
        <v>6.66</v>
      </c>
      <c r="K12" s="98">
        <v>100</v>
      </c>
      <c r="L12" s="90">
        <f t="shared" si="3"/>
        <v>150</v>
      </c>
      <c r="M12" s="85">
        <f t="shared" si="4"/>
        <v>666</v>
      </c>
    </row>
    <row r="13" spans="1:13" ht="15.75" x14ac:dyDescent="0.25">
      <c r="B13" s="93">
        <v>6</v>
      </c>
      <c r="C13" s="93" t="str">
        <f t="shared" si="0"/>
        <v>CB1A6</v>
      </c>
      <c r="D13" s="93" t="str">
        <f t="shared" si="1"/>
        <v>CB1A</v>
      </c>
      <c r="E13" s="92" t="s">
        <v>56</v>
      </c>
      <c r="F13" s="91" t="s">
        <v>37</v>
      </c>
      <c r="G13" s="91">
        <v>0.25</v>
      </c>
      <c r="H13" s="91" t="s">
        <v>32</v>
      </c>
      <c r="I13" s="135">
        <v>8.56</v>
      </c>
      <c r="J13" s="130">
        <f t="shared" si="2"/>
        <v>2.14</v>
      </c>
      <c r="K13" s="98">
        <v>100</v>
      </c>
      <c r="L13" s="90">
        <f t="shared" si="3"/>
        <v>25</v>
      </c>
      <c r="M13" s="85">
        <f t="shared" si="4"/>
        <v>214</v>
      </c>
    </row>
    <row r="14" spans="1:13" ht="15.75" x14ac:dyDescent="0.25">
      <c r="B14" s="93">
        <v>7</v>
      </c>
      <c r="C14" s="93" t="str">
        <f t="shared" si="0"/>
        <v>CB1A7</v>
      </c>
      <c r="D14" s="93" t="str">
        <f t="shared" si="1"/>
        <v>CB1A</v>
      </c>
      <c r="E14" s="92" t="s">
        <v>56</v>
      </c>
      <c r="F14" s="91" t="s">
        <v>38</v>
      </c>
      <c r="G14" s="91">
        <v>1</v>
      </c>
      <c r="H14" s="91" t="s">
        <v>39</v>
      </c>
      <c r="I14" s="135">
        <v>10.79</v>
      </c>
      <c r="J14" s="130">
        <f t="shared" si="2"/>
        <v>10.79</v>
      </c>
      <c r="K14" s="98">
        <v>100</v>
      </c>
      <c r="L14" s="90">
        <f t="shared" si="3"/>
        <v>100</v>
      </c>
      <c r="M14" s="85">
        <f t="shared" si="4"/>
        <v>1079</v>
      </c>
    </row>
    <row r="15" spans="1:13" ht="15.75" x14ac:dyDescent="0.25">
      <c r="B15" s="93">
        <v>8</v>
      </c>
      <c r="C15" s="93" t="str">
        <f t="shared" si="0"/>
        <v>CB1A8</v>
      </c>
      <c r="D15" s="93" t="str">
        <f t="shared" si="1"/>
        <v>CB1A</v>
      </c>
      <c r="E15" s="92" t="s">
        <v>56</v>
      </c>
      <c r="F15" s="91" t="s">
        <v>40</v>
      </c>
      <c r="G15" s="91">
        <v>0.5</v>
      </c>
      <c r="H15" s="91" t="s">
        <v>32</v>
      </c>
      <c r="I15" s="135">
        <v>0.9</v>
      </c>
      <c r="J15" s="130">
        <f t="shared" si="2"/>
        <v>0.45</v>
      </c>
      <c r="K15" s="98">
        <v>100</v>
      </c>
      <c r="L15" s="90">
        <f t="shared" si="3"/>
        <v>50</v>
      </c>
      <c r="M15" s="85">
        <f t="shared" si="4"/>
        <v>45</v>
      </c>
    </row>
    <row r="16" spans="1:13" ht="15.75" x14ac:dyDescent="0.25">
      <c r="B16" s="93">
        <v>9</v>
      </c>
      <c r="C16" s="93" t="str">
        <f t="shared" si="0"/>
        <v>CB1A9</v>
      </c>
      <c r="D16" s="93" t="str">
        <f t="shared" si="1"/>
        <v>CB1A</v>
      </c>
      <c r="E16" s="92" t="s">
        <v>56</v>
      </c>
      <c r="F16" s="91" t="s">
        <v>41</v>
      </c>
      <c r="G16" s="91">
        <v>1</v>
      </c>
      <c r="H16" s="91" t="s">
        <v>39</v>
      </c>
      <c r="I16" s="135">
        <v>1.04</v>
      </c>
      <c r="J16" s="130">
        <f t="shared" si="2"/>
        <v>1.04</v>
      </c>
      <c r="K16" s="98">
        <v>100</v>
      </c>
      <c r="L16" s="90">
        <f t="shared" si="3"/>
        <v>100</v>
      </c>
      <c r="M16" s="85">
        <f t="shared" si="4"/>
        <v>104</v>
      </c>
    </row>
    <row r="17" spans="2:13" ht="15.75" x14ac:dyDescent="0.25">
      <c r="B17" s="93">
        <v>10</v>
      </c>
      <c r="C17" s="93" t="str">
        <f t="shared" si="0"/>
        <v>CB2A10</v>
      </c>
      <c r="D17" s="93" t="str">
        <f t="shared" si="1"/>
        <v>CB2A</v>
      </c>
      <c r="E17" s="89" t="s">
        <v>57</v>
      </c>
      <c r="F17" s="88" t="s">
        <v>31</v>
      </c>
      <c r="G17" s="88">
        <v>5</v>
      </c>
      <c r="H17" s="88" t="s">
        <v>32</v>
      </c>
      <c r="I17" s="134">
        <v>3.31</v>
      </c>
      <c r="J17" s="130">
        <f t="shared" si="2"/>
        <v>16.55</v>
      </c>
      <c r="K17" s="98">
        <v>100</v>
      </c>
      <c r="L17" s="90">
        <f t="shared" si="3"/>
        <v>500</v>
      </c>
      <c r="M17" s="85">
        <f t="shared" ref="M17:M34" si="5">J17*K17</f>
        <v>1655</v>
      </c>
    </row>
    <row r="18" spans="2:13" ht="15.75" x14ac:dyDescent="0.25">
      <c r="B18" s="93">
        <v>11</v>
      </c>
      <c r="C18" s="93" t="str">
        <f t="shared" si="0"/>
        <v>CB2A11</v>
      </c>
      <c r="D18" s="93" t="str">
        <f t="shared" si="1"/>
        <v>CB2A</v>
      </c>
      <c r="E18" s="89" t="s">
        <v>57</v>
      </c>
      <c r="F18" s="88" t="s">
        <v>33</v>
      </c>
      <c r="G18" s="88">
        <v>2</v>
      </c>
      <c r="H18" s="88" t="s">
        <v>32</v>
      </c>
      <c r="I18" s="134">
        <v>8.48</v>
      </c>
      <c r="J18" s="130">
        <f t="shared" si="2"/>
        <v>16.96</v>
      </c>
      <c r="K18" s="98">
        <v>100</v>
      </c>
      <c r="L18" s="90">
        <f t="shared" si="3"/>
        <v>200</v>
      </c>
      <c r="M18" s="85">
        <f t="shared" si="5"/>
        <v>1696</v>
      </c>
    </row>
    <row r="19" spans="2:13" ht="15.75" x14ac:dyDescent="0.25">
      <c r="B19" s="93">
        <v>12</v>
      </c>
      <c r="C19" s="93" t="str">
        <f t="shared" si="0"/>
        <v>CB2A12</v>
      </c>
      <c r="D19" s="93" t="str">
        <f t="shared" si="1"/>
        <v>CB2A</v>
      </c>
      <c r="E19" s="89" t="s">
        <v>57</v>
      </c>
      <c r="F19" s="88" t="s">
        <v>34</v>
      </c>
      <c r="G19" s="88">
        <v>1</v>
      </c>
      <c r="H19" s="88" t="s">
        <v>32</v>
      </c>
      <c r="I19" s="134">
        <v>2.85</v>
      </c>
      <c r="J19" s="130">
        <f t="shared" si="2"/>
        <v>2.85</v>
      </c>
      <c r="K19" s="98">
        <v>100</v>
      </c>
      <c r="L19" s="90">
        <f t="shared" si="3"/>
        <v>100</v>
      </c>
      <c r="M19" s="85">
        <f t="shared" si="5"/>
        <v>285</v>
      </c>
    </row>
    <row r="20" spans="2:13" ht="15.75" x14ac:dyDescent="0.25">
      <c r="B20" s="93">
        <v>13</v>
      </c>
      <c r="C20" s="93" t="str">
        <f t="shared" si="0"/>
        <v>CB2A13</v>
      </c>
      <c r="D20" s="93" t="str">
        <f t="shared" si="1"/>
        <v>CB2A</v>
      </c>
      <c r="E20" s="89" t="s">
        <v>57</v>
      </c>
      <c r="F20" s="88" t="s">
        <v>35</v>
      </c>
      <c r="G20" s="88">
        <v>1.5</v>
      </c>
      <c r="H20" s="88" t="s">
        <v>32</v>
      </c>
      <c r="I20" s="134">
        <v>3.43</v>
      </c>
      <c r="J20" s="130">
        <f t="shared" si="2"/>
        <v>5.1450000000000005</v>
      </c>
      <c r="K20" s="98">
        <v>100</v>
      </c>
      <c r="L20" s="90">
        <f t="shared" si="3"/>
        <v>150</v>
      </c>
      <c r="M20" s="85">
        <f t="shared" si="5"/>
        <v>514.5</v>
      </c>
    </row>
    <row r="21" spans="2:13" ht="15.75" x14ac:dyDescent="0.25">
      <c r="B21" s="93">
        <v>14</v>
      </c>
      <c r="C21" s="93" t="str">
        <f t="shared" si="0"/>
        <v>CB2A14</v>
      </c>
      <c r="D21" s="93" t="str">
        <f t="shared" si="1"/>
        <v>CB2A</v>
      </c>
      <c r="E21" s="89" t="s">
        <v>57</v>
      </c>
      <c r="F21" s="88" t="s">
        <v>36</v>
      </c>
      <c r="G21" s="88">
        <v>2</v>
      </c>
      <c r="H21" s="88" t="s">
        <v>32</v>
      </c>
      <c r="I21" s="134">
        <v>4.4400000000000004</v>
      </c>
      <c r="J21" s="130">
        <f t="shared" si="2"/>
        <v>8.8800000000000008</v>
      </c>
      <c r="K21" s="98">
        <v>100</v>
      </c>
      <c r="L21" s="90">
        <f t="shared" si="3"/>
        <v>200</v>
      </c>
      <c r="M21" s="85">
        <f t="shared" si="5"/>
        <v>888.00000000000011</v>
      </c>
    </row>
    <row r="22" spans="2:13" ht="15.75" x14ac:dyDescent="0.25">
      <c r="B22" s="93">
        <v>15</v>
      </c>
      <c r="C22" s="93" t="str">
        <f t="shared" si="0"/>
        <v>CB2A15</v>
      </c>
      <c r="D22" s="93" t="str">
        <f t="shared" si="1"/>
        <v>CB2A</v>
      </c>
      <c r="E22" s="89" t="s">
        <v>57</v>
      </c>
      <c r="F22" s="88" t="s">
        <v>37</v>
      </c>
      <c r="G22" s="88">
        <v>0.25</v>
      </c>
      <c r="H22" s="88" t="s">
        <v>32</v>
      </c>
      <c r="I22" s="134">
        <v>8.56</v>
      </c>
      <c r="J22" s="130">
        <f t="shared" si="2"/>
        <v>2.14</v>
      </c>
      <c r="K22" s="98">
        <v>100</v>
      </c>
      <c r="L22" s="90">
        <f t="shared" si="3"/>
        <v>25</v>
      </c>
      <c r="M22" s="85">
        <f t="shared" si="5"/>
        <v>214</v>
      </c>
    </row>
    <row r="23" spans="2:13" ht="15.75" x14ac:dyDescent="0.25">
      <c r="B23" s="93">
        <v>16</v>
      </c>
      <c r="C23" s="93" t="str">
        <f t="shared" si="0"/>
        <v>CB2A16</v>
      </c>
      <c r="D23" s="93" t="str">
        <f t="shared" si="1"/>
        <v>CB2A</v>
      </c>
      <c r="E23" s="89" t="s">
        <v>57</v>
      </c>
      <c r="F23" s="88" t="s">
        <v>38</v>
      </c>
      <c r="G23" s="88">
        <v>1</v>
      </c>
      <c r="H23" s="88" t="s">
        <v>39</v>
      </c>
      <c r="I23" s="134">
        <v>10.79</v>
      </c>
      <c r="J23" s="130">
        <f t="shared" si="2"/>
        <v>10.79</v>
      </c>
      <c r="K23" s="98">
        <v>100</v>
      </c>
      <c r="L23" s="90">
        <f t="shared" si="3"/>
        <v>100</v>
      </c>
      <c r="M23" s="85">
        <f t="shared" si="5"/>
        <v>1079</v>
      </c>
    </row>
    <row r="24" spans="2:13" ht="15.75" x14ac:dyDescent="0.25">
      <c r="B24" s="93">
        <v>17</v>
      </c>
      <c r="C24" s="93" t="str">
        <f t="shared" si="0"/>
        <v>CB2A17</v>
      </c>
      <c r="D24" s="93" t="str">
        <f t="shared" si="1"/>
        <v>CB2A</v>
      </c>
      <c r="E24" s="89" t="s">
        <v>57</v>
      </c>
      <c r="F24" s="88" t="s">
        <v>40</v>
      </c>
      <c r="G24" s="88">
        <v>0.5</v>
      </c>
      <c r="H24" s="88" t="s">
        <v>32</v>
      </c>
      <c r="I24" s="131">
        <v>0.9</v>
      </c>
      <c r="J24" s="130">
        <f t="shared" si="2"/>
        <v>0.45</v>
      </c>
      <c r="K24" s="98">
        <v>100</v>
      </c>
      <c r="L24" s="90">
        <f t="shared" si="3"/>
        <v>50</v>
      </c>
      <c r="M24" s="85">
        <f t="shared" si="5"/>
        <v>45</v>
      </c>
    </row>
    <row r="25" spans="2:13" ht="15.75" x14ac:dyDescent="0.25">
      <c r="B25" s="93">
        <v>18</v>
      </c>
      <c r="C25" s="93" t="str">
        <f t="shared" si="0"/>
        <v>CB2A18</v>
      </c>
      <c r="D25" s="93" t="str">
        <f t="shared" si="1"/>
        <v>CB2A</v>
      </c>
      <c r="E25" s="89" t="s">
        <v>57</v>
      </c>
      <c r="F25" s="88" t="s">
        <v>41</v>
      </c>
      <c r="G25" s="88">
        <v>1</v>
      </c>
      <c r="H25" s="88" t="s">
        <v>39</v>
      </c>
      <c r="I25" s="131">
        <v>1.04</v>
      </c>
      <c r="J25" s="130">
        <f t="shared" si="2"/>
        <v>1.04</v>
      </c>
      <c r="K25" s="98">
        <v>100</v>
      </c>
      <c r="L25" s="90">
        <f t="shared" si="3"/>
        <v>100</v>
      </c>
      <c r="M25" s="85">
        <f t="shared" si="5"/>
        <v>104</v>
      </c>
    </row>
    <row r="26" spans="2:13" ht="15.75" x14ac:dyDescent="0.25">
      <c r="B26" s="93">
        <v>19</v>
      </c>
      <c r="C26" s="93" t="str">
        <f t="shared" si="0"/>
        <v>CB3A19</v>
      </c>
      <c r="D26" s="93" t="str">
        <f t="shared" si="1"/>
        <v>CB3A</v>
      </c>
      <c r="E26" s="89" t="s">
        <v>58</v>
      </c>
      <c r="F26" s="88" t="s">
        <v>31</v>
      </c>
      <c r="G26" s="88">
        <v>7.5</v>
      </c>
      <c r="H26" s="88" t="s">
        <v>32</v>
      </c>
      <c r="I26" s="134">
        <v>3.31</v>
      </c>
      <c r="J26" s="130">
        <f t="shared" si="2"/>
        <v>24.824999999999999</v>
      </c>
      <c r="K26" s="98">
        <v>100</v>
      </c>
      <c r="L26" s="90">
        <f t="shared" si="3"/>
        <v>750</v>
      </c>
      <c r="M26" s="85">
        <f t="shared" si="5"/>
        <v>2482.5</v>
      </c>
    </row>
    <row r="27" spans="2:13" ht="15.75" x14ac:dyDescent="0.25">
      <c r="B27" s="93">
        <v>20</v>
      </c>
      <c r="C27" s="93" t="str">
        <f t="shared" si="0"/>
        <v>CB3A20</v>
      </c>
      <c r="D27" s="93" t="str">
        <f t="shared" si="1"/>
        <v>CB3A</v>
      </c>
      <c r="E27" s="89" t="s">
        <v>58</v>
      </c>
      <c r="F27" s="88" t="s">
        <v>33</v>
      </c>
      <c r="G27" s="88">
        <v>3</v>
      </c>
      <c r="H27" s="88" t="s">
        <v>32</v>
      </c>
      <c r="I27" s="134">
        <v>8.48</v>
      </c>
      <c r="J27" s="130">
        <f t="shared" si="2"/>
        <v>25.44</v>
      </c>
      <c r="K27" s="98">
        <v>100</v>
      </c>
      <c r="L27" s="90">
        <f t="shared" si="3"/>
        <v>300</v>
      </c>
      <c r="M27" s="85">
        <f t="shared" si="5"/>
        <v>2544</v>
      </c>
    </row>
    <row r="28" spans="2:13" ht="15.75" x14ac:dyDescent="0.25">
      <c r="B28" s="93">
        <v>21</v>
      </c>
      <c r="C28" s="93" t="str">
        <f t="shared" si="0"/>
        <v>CB3A21</v>
      </c>
      <c r="D28" s="93" t="str">
        <f t="shared" si="1"/>
        <v>CB3A</v>
      </c>
      <c r="E28" s="89" t="s">
        <v>58</v>
      </c>
      <c r="F28" s="88" t="s">
        <v>34</v>
      </c>
      <c r="G28" s="88">
        <v>2</v>
      </c>
      <c r="H28" s="88" t="s">
        <v>32</v>
      </c>
      <c r="I28" s="134">
        <v>2.85</v>
      </c>
      <c r="J28" s="130">
        <f t="shared" si="2"/>
        <v>5.7</v>
      </c>
      <c r="K28" s="98">
        <v>100</v>
      </c>
      <c r="L28" s="90">
        <f t="shared" si="3"/>
        <v>200</v>
      </c>
      <c r="M28" s="85">
        <f t="shared" si="5"/>
        <v>570</v>
      </c>
    </row>
    <row r="29" spans="2:13" ht="15.75" x14ac:dyDescent="0.25">
      <c r="B29" s="93">
        <v>22</v>
      </c>
      <c r="C29" s="93" t="str">
        <f t="shared" si="0"/>
        <v>CB3A22</v>
      </c>
      <c r="D29" s="93" t="str">
        <f t="shared" si="1"/>
        <v>CB3A</v>
      </c>
      <c r="E29" s="89" t="s">
        <v>58</v>
      </c>
      <c r="F29" s="88" t="s">
        <v>35</v>
      </c>
      <c r="G29" s="88">
        <v>2</v>
      </c>
      <c r="H29" s="88" t="s">
        <v>32</v>
      </c>
      <c r="I29" s="134">
        <v>3.43</v>
      </c>
      <c r="J29" s="130">
        <f t="shared" si="2"/>
        <v>6.86</v>
      </c>
      <c r="K29" s="98">
        <v>100</v>
      </c>
      <c r="L29" s="90">
        <f t="shared" si="3"/>
        <v>200</v>
      </c>
      <c r="M29" s="85">
        <f t="shared" si="5"/>
        <v>686</v>
      </c>
    </row>
    <row r="30" spans="2:13" ht="15.75" x14ac:dyDescent="0.25">
      <c r="B30" s="93">
        <v>23</v>
      </c>
      <c r="C30" s="93" t="str">
        <f t="shared" si="0"/>
        <v>CB3A23</v>
      </c>
      <c r="D30" s="93" t="str">
        <f t="shared" si="1"/>
        <v>CB3A</v>
      </c>
      <c r="E30" s="89" t="s">
        <v>58</v>
      </c>
      <c r="F30" s="88" t="s">
        <v>36</v>
      </c>
      <c r="G30" s="88">
        <v>3</v>
      </c>
      <c r="H30" s="88" t="s">
        <v>32</v>
      </c>
      <c r="I30" s="134">
        <v>4.4400000000000004</v>
      </c>
      <c r="J30" s="130">
        <f t="shared" si="2"/>
        <v>13.32</v>
      </c>
      <c r="K30" s="98">
        <v>100</v>
      </c>
      <c r="L30" s="90">
        <f t="shared" si="3"/>
        <v>300</v>
      </c>
      <c r="M30" s="85">
        <f t="shared" si="5"/>
        <v>1332</v>
      </c>
    </row>
    <row r="31" spans="2:13" ht="15.75" x14ac:dyDescent="0.25">
      <c r="B31" s="93">
        <v>24</v>
      </c>
      <c r="C31" s="93" t="str">
        <f t="shared" si="0"/>
        <v>CB3A24</v>
      </c>
      <c r="D31" s="93" t="str">
        <f t="shared" si="1"/>
        <v>CB3A</v>
      </c>
      <c r="E31" s="89" t="s">
        <v>58</v>
      </c>
      <c r="F31" s="88" t="s">
        <v>37</v>
      </c>
      <c r="G31" s="88">
        <v>0.25</v>
      </c>
      <c r="H31" s="88" t="s">
        <v>32</v>
      </c>
      <c r="I31" s="134">
        <v>8.56</v>
      </c>
      <c r="J31" s="130">
        <f t="shared" si="2"/>
        <v>2.14</v>
      </c>
      <c r="K31" s="98">
        <v>100</v>
      </c>
      <c r="L31" s="90">
        <f t="shared" si="3"/>
        <v>25</v>
      </c>
      <c r="M31" s="85">
        <f t="shared" si="5"/>
        <v>214</v>
      </c>
    </row>
    <row r="32" spans="2:13" ht="15.75" x14ac:dyDescent="0.25">
      <c r="B32" s="93">
        <v>25</v>
      </c>
      <c r="C32" s="93" t="str">
        <f t="shared" si="0"/>
        <v>CB3A25</v>
      </c>
      <c r="D32" s="93" t="str">
        <f t="shared" si="1"/>
        <v>CB3A</v>
      </c>
      <c r="E32" s="89" t="s">
        <v>58</v>
      </c>
      <c r="F32" s="88" t="s">
        <v>38</v>
      </c>
      <c r="G32" s="88">
        <v>1</v>
      </c>
      <c r="H32" s="88" t="s">
        <v>39</v>
      </c>
      <c r="I32" s="134">
        <v>10.79</v>
      </c>
      <c r="J32" s="130">
        <f t="shared" si="2"/>
        <v>10.79</v>
      </c>
      <c r="K32" s="98">
        <v>100</v>
      </c>
      <c r="L32" s="90">
        <f t="shared" si="3"/>
        <v>100</v>
      </c>
      <c r="M32" s="85">
        <f t="shared" si="5"/>
        <v>1079</v>
      </c>
    </row>
    <row r="33" spans="2:15" ht="15.75" x14ac:dyDescent="0.25">
      <c r="B33" s="93">
        <v>26</v>
      </c>
      <c r="C33" s="93" t="str">
        <f t="shared" si="0"/>
        <v>CB3A26</v>
      </c>
      <c r="D33" s="93" t="str">
        <f t="shared" si="1"/>
        <v>CB3A</v>
      </c>
      <c r="E33" s="89" t="s">
        <v>58</v>
      </c>
      <c r="F33" s="88" t="s">
        <v>40</v>
      </c>
      <c r="G33" s="88">
        <v>1</v>
      </c>
      <c r="H33" s="88" t="s">
        <v>32</v>
      </c>
      <c r="I33" s="131">
        <v>0.9</v>
      </c>
      <c r="J33" s="130">
        <f t="shared" si="2"/>
        <v>0.9</v>
      </c>
      <c r="K33" s="98">
        <v>100</v>
      </c>
      <c r="L33" s="90">
        <f t="shared" si="3"/>
        <v>100</v>
      </c>
      <c r="M33" s="85">
        <f t="shared" si="5"/>
        <v>90</v>
      </c>
    </row>
    <row r="34" spans="2:15" ht="15.75" x14ac:dyDescent="0.25">
      <c r="B34" s="89">
        <v>27</v>
      </c>
      <c r="C34" s="93" t="str">
        <f t="shared" si="0"/>
        <v>CB3A27</v>
      </c>
      <c r="D34" s="93" t="str">
        <f t="shared" si="1"/>
        <v>CB3A</v>
      </c>
      <c r="E34" s="89" t="s">
        <v>58</v>
      </c>
      <c r="F34" s="88" t="s">
        <v>41</v>
      </c>
      <c r="G34" s="88">
        <v>2</v>
      </c>
      <c r="H34" s="88" t="s">
        <v>39</v>
      </c>
      <c r="I34" s="131">
        <v>1.04</v>
      </c>
      <c r="J34" s="130">
        <f t="shared" si="2"/>
        <v>2.08</v>
      </c>
      <c r="K34" s="98">
        <v>100</v>
      </c>
      <c r="L34" s="90">
        <f t="shared" si="3"/>
        <v>200</v>
      </c>
      <c r="M34" s="85">
        <f t="shared" si="5"/>
        <v>208</v>
      </c>
    </row>
    <row r="35" spans="2:15" ht="15.75" x14ac:dyDescent="0.25">
      <c r="B35" s="92">
        <v>28</v>
      </c>
      <c r="C35" s="93" t="str">
        <f t="shared" si="0"/>
        <v>CB1/2A28</v>
      </c>
      <c r="D35" s="93" t="str">
        <f t="shared" si="1"/>
        <v>CB1/2A</v>
      </c>
      <c r="E35" s="89" t="s">
        <v>59</v>
      </c>
      <c r="F35" s="91" t="s">
        <v>31</v>
      </c>
      <c r="G35" s="91">
        <v>2.5</v>
      </c>
      <c r="H35" s="91" t="s">
        <v>32</v>
      </c>
      <c r="I35" s="135">
        <v>3.31</v>
      </c>
      <c r="J35" s="130">
        <f t="shared" si="2"/>
        <v>8.2750000000000004</v>
      </c>
      <c r="K35" s="98">
        <v>100</v>
      </c>
      <c r="L35" s="90">
        <f t="shared" si="3"/>
        <v>250</v>
      </c>
      <c r="M35" s="85">
        <f t="shared" ref="M35:M43" si="6">IF(J35&lt;&gt;"",J35*K35)</f>
        <v>827.5</v>
      </c>
    </row>
    <row r="36" spans="2:15" ht="15.75" x14ac:dyDescent="0.25">
      <c r="B36" s="89">
        <v>29</v>
      </c>
      <c r="C36" s="93" t="str">
        <f t="shared" si="0"/>
        <v>CB1/2A29</v>
      </c>
      <c r="D36" s="93" t="str">
        <f t="shared" si="1"/>
        <v>CB1/2A</v>
      </c>
      <c r="E36" s="89" t="s">
        <v>59</v>
      </c>
      <c r="F36" s="91" t="s">
        <v>33</v>
      </c>
      <c r="G36" s="91">
        <v>1</v>
      </c>
      <c r="H36" s="91" t="s">
        <v>32</v>
      </c>
      <c r="I36" s="135">
        <v>8.48</v>
      </c>
      <c r="J36" s="130">
        <f t="shared" si="2"/>
        <v>8.48</v>
      </c>
      <c r="K36" s="98">
        <v>100</v>
      </c>
      <c r="L36" s="90">
        <f t="shared" si="3"/>
        <v>100</v>
      </c>
      <c r="M36" s="85">
        <f t="shared" si="6"/>
        <v>848</v>
      </c>
    </row>
    <row r="37" spans="2:15" ht="15.75" x14ac:dyDescent="0.25">
      <c r="B37" s="89">
        <v>30</v>
      </c>
      <c r="C37" s="93" t="str">
        <f t="shared" si="0"/>
        <v>CB1/2A30</v>
      </c>
      <c r="D37" s="93" t="str">
        <f t="shared" si="1"/>
        <v>CB1/2A</v>
      </c>
      <c r="E37" s="89" t="s">
        <v>59</v>
      </c>
      <c r="F37" s="91" t="s">
        <v>34</v>
      </c>
      <c r="G37" s="91">
        <v>1</v>
      </c>
      <c r="H37" s="91" t="s">
        <v>32</v>
      </c>
      <c r="I37" s="135">
        <v>2.85</v>
      </c>
      <c r="J37" s="130">
        <f t="shared" si="2"/>
        <v>2.85</v>
      </c>
      <c r="K37" s="98">
        <v>100</v>
      </c>
      <c r="L37" s="90">
        <f t="shared" si="3"/>
        <v>100</v>
      </c>
      <c r="M37" s="85">
        <f t="shared" si="6"/>
        <v>285</v>
      </c>
    </row>
    <row r="38" spans="2:15" ht="15.75" x14ac:dyDescent="0.25">
      <c r="B38" s="92">
        <v>31</v>
      </c>
      <c r="C38" s="93" t="str">
        <f t="shared" si="0"/>
        <v>CB1/2A31</v>
      </c>
      <c r="D38" s="93" t="str">
        <f t="shared" si="1"/>
        <v>CB1/2A</v>
      </c>
      <c r="E38" s="89" t="s">
        <v>59</v>
      </c>
      <c r="F38" s="91" t="s">
        <v>35</v>
      </c>
      <c r="G38" s="91">
        <v>1</v>
      </c>
      <c r="H38" s="91" t="s">
        <v>32</v>
      </c>
      <c r="I38" s="135">
        <v>3.43</v>
      </c>
      <c r="J38" s="130">
        <f t="shared" si="2"/>
        <v>3.43</v>
      </c>
      <c r="K38" s="98">
        <v>100</v>
      </c>
      <c r="L38" s="90">
        <f t="shared" si="3"/>
        <v>100</v>
      </c>
      <c r="M38" s="85">
        <f t="shared" si="6"/>
        <v>343</v>
      </c>
    </row>
    <row r="39" spans="2:15" ht="15.75" x14ac:dyDescent="0.25">
      <c r="B39" s="89">
        <v>32</v>
      </c>
      <c r="C39" s="93" t="str">
        <f t="shared" si="0"/>
        <v>CB1/2A32</v>
      </c>
      <c r="D39" s="93" t="str">
        <f t="shared" si="1"/>
        <v>CB1/2A</v>
      </c>
      <c r="E39" s="89" t="s">
        <v>59</v>
      </c>
      <c r="F39" s="91" t="s">
        <v>36</v>
      </c>
      <c r="G39" s="91">
        <v>1.5</v>
      </c>
      <c r="H39" s="91" t="s">
        <v>32</v>
      </c>
      <c r="I39" s="135">
        <v>4.4400000000000004</v>
      </c>
      <c r="J39" s="130">
        <f t="shared" si="2"/>
        <v>6.66</v>
      </c>
      <c r="K39" s="98">
        <v>100</v>
      </c>
      <c r="L39" s="90">
        <f t="shared" si="3"/>
        <v>150</v>
      </c>
      <c r="M39" s="85">
        <f t="shared" si="6"/>
        <v>666</v>
      </c>
    </row>
    <row r="40" spans="2:15" ht="15.75" x14ac:dyDescent="0.25">
      <c r="B40" s="89">
        <v>33</v>
      </c>
      <c r="C40" s="93" t="str">
        <f t="shared" si="0"/>
        <v>CB1/2A33</v>
      </c>
      <c r="D40" s="93" t="str">
        <f t="shared" ref="D40:D64" si="7">IF(E40="Cesta 1","CB1A",IF(E40="Cesta 2","CB2A",IF(E40="Cesta 3","CB3A",IF(E40="Cesta D","CBDA",IF(E40="Cesta 1/2","CB1/2A",IF(E40="Cesta 2/2","CB2/2A",IF(E40="Diversos","AVULSO",IF(E40="",""))))))))</f>
        <v>CB1/2A</v>
      </c>
      <c r="E40" s="89" t="s">
        <v>59</v>
      </c>
      <c r="F40" s="91" t="s">
        <v>37</v>
      </c>
      <c r="G40" s="91">
        <v>0.25</v>
      </c>
      <c r="H40" s="91" t="s">
        <v>32</v>
      </c>
      <c r="I40" s="135">
        <v>8.56</v>
      </c>
      <c r="J40" s="130">
        <f t="shared" ref="J40:J71" si="8">IF(I40=0.01,I40-I40,G40*I40)</f>
        <v>2.14</v>
      </c>
      <c r="K40" s="98">
        <v>100</v>
      </c>
      <c r="L40" s="90">
        <f t="shared" ref="L40:L71" si="9">IF(G40&lt;&gt;"",G40*K40)</f>
        <v>25</v>
      </c>
      <c r="M40" s="85">
        <f t="shared" si="6"/>
        <v>214</v>
      </c>
    </row>
    <row r="41" spans="2:15" ht="15.75" x14ac:dyDescent="0.25">
      <c r="B41" s="92">
        <v>34</v>
      </c>
      <c r="C41" s="93" t="str">
        <f t="shared" si="0"/>
        <v>CB1/2A34</v>
      </c>
      <c r="D41" s="93" t="str">
        <f t="shared" si="7"/>
        <v>CB1/2A</v>
      </c>
      <c r="E41" s="89" t="s">
        <v>59</v>
      </c>
      <c r="F41" s="91" t="s">
        <v>38</v>
      </c>
      <c r="G41" s="91">
        <v>0</v>
      </c>
      <c r="H41" s="91" t="s">
        <v>39</v>
      </c>
      <c r="I41" s="135">
        <v>10.79</v>
      </c>
      <c r="J41" s="130">
        <f t="shared" si="8"/>
        <v>0</v>
      </c>
      <c r="K41" s="98">
        <v>100</v>
      </c>
      <c r="L41" s="90">
        <f t="shared" si="9"/>
        <v>0</v>
      </c>
      <c r="M41" s="85">
        <f t="shared" si="6"/>
        <v>0</v>
      </c>
    </row>
    <row r="42" spans="2:15" ht="15.75" x14ac:dyDescent="0.25">
      <c r="B42" s="89">
        <v>35</v>
      </c>
      <c r="C42" s="93" t="str">
        <f t="shared" si="0"/>
        <v>CB1/2A35</v>
      </c>
      <c r="D42" s="93" t="str">
        <f t="shared" si="7"/>
        <v>CB1/2A</v>
      </c>
      <c r="E42" s="89" t="s">
        <v>59</v>
      </c>
      <c r="F42" s="91" t="s">
        <v>40</v>
      </c>
      <c r="G42" s="91">
        <v>0.5</v>
      </c>
      <c r="H42" s="91" t="s">
        <v>32</v>
      </c>
      <c r="I42" s="135">
        <v>0.9</v>
      </c>
      <c r="J42" s="130">
        <f t="shared" si="8"/>
        <v>0.45</v>
      </c>
      <c r="K42" s="98">
        <v>100</v>
      </c>
      <c r="L42" s="90">
        <f t="shared" si="9"/>
        <v>50</v>
      </c>
      <c r="M42" s="85">
        <f t="shared" si="6"/>
        <v>45</v>
      </c>
    </row>
    <row r="43" spans="2:15" ht="15.75" x14ac:dyDescent="0.25">
      <c r="B43" s="89">
        <v>36</v>
      </c>
      <c r="C43" s="93" t="str">
        <f t="shared" si="0"/>
        <v>CB1/2A36</v>
      </c>
      <c r="D43" s="93" t="str">
        <f t="shared" si="7"/>
        <v>CB1/2A</v>
      </c>
      <c r="E43" s="89" t="s">
        <v>59</v>
      </c>
      <c r="F43" s="91" t="s">
        <v>41</v>
      </c>
      <c r="G43" s="91">
        <v>1</v>
      </c>
      <c r="H43" s="91" t="s">
        <v>39</v>
      </c>
      <c r="I43" s="135">
        <v>1.04</v>
      </c>
      <c r="J43" s="130">
        <f t="shared" si="8"/>
        <v>1.04</v>
      </c>
      <c r="K43" s="98">
        <v>100</v>
      </c>
      <c r="L43" s="90">
        <f t="shared" si="9"/>
        <v>100</v>
      </c>
      <c r="M43" s="85">
        <f t="shared" si="6"/>
        <v>104</v>
      </c>
    </row>
    <row r="44" spans="2:15" ht="15.75" x14ac:dyDescent="0.25">
      <c r="B44" s="92">
        <v>37</v>
      </c>
      <c r="C44" s="93" t="str">
        <f t="shared" si="0"/>
        <v>CB2/2A37</v>
      </c>
      <c r="D44" s="93" t="str">
        <f t="shared" si="7"/>
        <v>CB2/2A</v>
      </c>
      <c r="E44" s="89" t="s">
        <v>60</v>
      </c>
      <c r="F44" s="133" t="s">
        <v>31</v>
      </c>
      <c r="G44" s="88">
        <v>5</v>
      </c>
      <c r="H44" s="88" t="s">
        <v>32</v>
      </c>
      <c r="I44" s="134">
        <v>3.31</v>
      </c>
      <c r="J44" s="130">
        <f t="shared" si="8"/>
        <v>16.55</v>
      </c>
      <c r="K44" s="98">
        <v>100</v>
      </c>
      <c r="L44" s="90">
        <f t="shared" si="9"/>
        <v>500</v>
      </c>
      <c r="M44" s="85">
        <f>J44*K44</f>
        <v>1655</v>
      </c>
    </row>
    <row r="45" spans="2:15" ht="15.75" x14ac:dyDescent="0.25">
      <c r="B45" s="89">
        <v>38</v>
      </c>
      <c r="C45" s="93" t="str">
        <f t="shared" si="0"/>
        <v>CB2/2A38</v>
      </c>
      <c r="D45" s="93" t="str">
        <f t="shared" si="7"/>
        <v>CB2/2A</v>
      </c>
      <c r="E45" s="89" t="s">
        <v>60</v>
      </c>
      <c r="F45" s="133" t="s">
        <v>33</v>
      </c>
      <c r="G45" s="88">
        <v>2</v>
      </c>
      <c r="H45" s="88" t="s">
        <v>32</v>
      </c>
      <c r="I45" s="134">
        <v>8.48</v>
      </c>
      <c r="J45" s="130">
        <f t="shared" si="8"/>
        <v>16.96</v>
      </c>
      <c r="K45" s="98">
        <v>100</v>
      </c>
      <c r="L45" s="90">
        <f t="shared" si="9"/>
        <v>200</v>
      </c>
      <c r="M45" s="85">
        <f>J45*K45</f>
        <v>1696</v>
      </c>
    </row>
    <row r="46" spans="2:15" ht="15.75" x14ac:dyDescent="0.25">
      <c r="B46" s="89">
        <v>39</v>
      </c>
      <c r="C46" s="93" t="str">
        <f t="shared" si="0"/>
        <v>CB2/2A39</v>
      </c>
      <c r="D46" s="93" t="str">
        <f t="shared" si="7"/>
        <v>CB2/2A</v>
      </c>
      <c r="E46" s="89" t="s">
        <v>60</v>
      </c>
      <c r="F46" s="133" t="s">
        <v>34</v>
      </c>
      <c r="G46" s="88">
        <v>1</v>
      </c>
      <c r="H46" s="88" t="s">
        <v>32</v>
      </c>
      <c r="I46" s="134">
        <v>2.85</v>
      </c>
      <c r="J46" s="130">
        <f t="shared" si="8"/>
        <v>2.85</v>
      </c>
      <c r="K46" s="98">
        <v>100</v>
      </c>
      <c r="L46" s="90">
        <f t="shared" si="9"/>
        <v>100</v>
      </c>
      <c r="M46" s="85">
        <f>J46*K46</f>
        <v>285</v>
      </c>
    </row>
    <row r="47" spans="2:15" ht="15.75" x14ac:dyDescent="0.25">
      <c r="B47" s="92">
        <v>40</v>
      </c>
      <c r="C47" s="93" t="str">
        <f t="shared" si="0"/>
        <v>CB2/2A40</v>
      </c>
      <c r="D47" s="93" t="str">
        <f t="shared" si="7"/>
        <v>CB2/2A</v>
      </c>
      <c r="E47" s="89" t="s">
        <v>60</v>
      </c>
      <c r="F47" s="133" t="s">
        <v>35</v>
      </c>
      <c r="G47" s="88">
        <v>1.5</v>
      </c>
      <c r="H47" s="88" t="s">
        <v>32</v>
      </c>
      <c r="I47" s="134">
        <v>3.43</v>
      </c>
      <c r="J47" s="130">
        <f t="shared" si="8"/>
        <v>5.1450000000000005</v>
      </c>
      <c r="K47" s="98">
        <v>100</v>
      </c>
      <c r="L47" s="90">
        <f t="shared" si="9"/>
        <v>150</v>
      </c>
      <c r="M47" s="85" t="e">
        <f>#REF!*K47</f>
        <v>#REF!</v>
      </c>
    </row>
    <row r="48" spans="2:15" ht="15.75" x14ac:dyDescent="0.25">
      <c r="B48" s="89">
        <v>41</v>
      </c>
      <c r="C48" s="93" t="str">
        <f t="shared" si="0"/>
        <v>CB2/2A41</v>
      </c>
      <c r="D48" s="93" t="str">
        <f t="shared" si="7"/>
        <v>CB2/2A</v>
      </c>
      <c r="E48" s="89" t="s">
        <v>60</v>
      </c>
      <c r="F48" s="133" t="s">
        <v>36</v>
      </c>
      <c r="G48" s="88">
        <v>2</v>
      </c>
      <c r="H48" s="88" t="s">
        <v>32</v>
      </c>
      <c r="I48" s="134">
        <v>4.4400000000000004</v>
      </c>
      <c r="J48" s="130">
        <f t="shared" si="8"/>
        <v>8.8800000000000008</v>
      </c>
      <c r="K48" s="98">
        <v>100</v>
      </c>
      <c r="L48" s="90">
        <f t="shared" si="9"/>
        <v>200</v>
      </c>
      <c r="M48" s="85">
        <f t="shared" ref="M48:M71" si="10">J48*K48</f>
        <v>888.00000000000011</v>
      </c>
      <c r="O48">
        <f t="shared" ref="O48:O54" si="11">IF(I48=0.01,I48-I48,G48*I48)</f>
        <v>8.8800000000000008</v>
      </c>
    </row>
    <row r="49" spans="2:15" ht="15.75" x14ac:dyDescent="0.25">
      <c r="B49" s="89">
        <v>42</v>
      </c>
      <c r="C49" s="93" t="str">
        <f t="shared" si="0"/>
        <v>CB2/2A42</v>
      </c>
      <c r="D49" s="93" t="str">
        <f t="shared" si="7"/>
        <v>CB2/2A</v>
      </c>
      <c r="E49" s="89" t="s">
        <v>60</v>
      </c>
      <c r="F49" s="133" t="s">
        <v>37</v>
      </c>
      <c r="G49" s="88">
        <v>0.25</v>
      </c>
      <c r="H49" s="88" t="s">
        <v>32</v>
      </c>
      <c r="I49" s="134">
        <v>8.56</v>
      </c>
      <c r="J49" s="130">
        <f t="shared" si="8"/>
        <v>2.14</v>
      </c>
      <c r="K49" s="98">
        <v>100</v>
      </c>
      <c r="L49" s="90">
        <f t="shared" si="9"/>
        <v>25</v>
      </c>
      <c r="M49" s="85">
        <f t="shared" si="10"/>
        <v>214</v>
      </c>
      <c r="O49">
        <f t="shared" si="11"/>
        <v>2.14</v>
      </c>
    </row>
    <row r="50" spans="2:15" ht="15.75" x14ac:dyDescent="0.25">
      <c r="B50" s="92">
        <v>43</v>
      </c>
      <c r="C50" s="93" t="str">
        <f t="shared" si="0"/>
        <v>CB2/2A43</v>
      </c>
      <c r="D50" s="93" t="str">
        <f t="shared" si="7"/>
        <v>CB2/2A</v>
      </c>
      <c r="E50" s="89" t="s">
        <v>60</v>
      </c>
      <c r="F50" s="133" t="s">
        <v>38</v>
      </c>
      <c r="G50" s="88">
        <v>0</v>
      </c>
      <c r="H50" s="88" t="s">
        <v>39</v>
      </c>
      <c r="I50" s="134">
        <v>10.79</v>
      </c>
      <c r="J50" s="130">
        <f t="shared" si="8"/>
        <v>0</v>
      </c>
      <c r="K50" s="98">
        <v>100</v>
      </c>
      <c r="L50" s="90">
        <f t="shared" si="9"/>
        <v>0</v>
      </c>
      <c r="M50" s="85">
        <f t="shared" si="10"/>
        <v>0</v>
      </c>
      <c r="O50">
        <f t="shared" si="11"/>
        <v>0</v>
      </c>
    </row>
    <row r="51" spans="2:15" ht="15.75" x14ac:dyDescent="0.25">
      <c r="B51" s="89">
        <v>44</v>
      </c>
      <c r="C51" s="93" t="str">
        <f t="shared" si="0"/>
        <v>CB2/2A44</v>
      </c>
      <c r="D51" s="93" t="str">
        <f t="shared" si="7"/>
        <v>CB2/2A</v>
      </c>
      <c r="E51" s="89" t="s">
        <v>60</v>
      </c>
      <c r="F51" s="133" t="s">
        <v>40</v>
      </c>
      <c r="G51" s="88">
        <v>0.5</v>
      </c>
      <c r="H51" s="88" t="s">
        <v>32</v>
      </c>
      <c r="I51" s="131">
        <v>0.9</v>
      </c>
      <c r="J51" s="130">
        <f t="shared" si="8"/>
        <v>0.45</v>
      </c>
      <c r="K51" s="98">
        <v>100</v>
      </c>
      <c r="L51" s="90">
        <f t="shared" si="9"/>
        <v>50</v>
      </c>
      <c r="M51" s="85">
        <f t="shared" si="10"/>
        <v>45</v>
      </c>
      <c r="O51">
        <f t="shared" si="11"/>
        <v>0.45</v>
      </c>
    </row>
    <row r="52" spans="2:15" ht="15.75" x14ac:dyDescent="0.25">
      <c r="B52" s="89">
        <v>45</v>
      </c>
      <c r="C52" s="93" t="str">
        <f t="shared" si="0"/>
        <v>CB2/2A45</v>
      </c>
      <c r="D52" s="93" t="str">
        <f t="shared" si="7"/>
        <v>CB2/2A</v>
      </c>
      <c r="E52" s="89" t="s">
        <v>60</v>
      </c>
      <c r="F52" s="133" t="s">
        <v>41</v>
      </c>
      <c r="G52" s="88">
        <v>1</v>
      </c>
      <c r="H52" s="88" t="s">
        <v>39</v>
      </c>
      <c r="I52" s="131">
        <v>1.04</v>
      </c>
      <c r="J52" s="130">
        <f t="shared" si="8"/>
        <v>1.04</v>
      </c>
      <c r="K52" s="98">
        <v>100</v>
      </c>
      <c r="L52" s="90">
        <f t="shared" si="9"/>
        <v>100</v>
      </c>
      <c r="M52" s="85">
        <f t="shared" si="10"/>
        <v>104</v>
      </c>
      <c r="O52">
        <f t="shared" si="11"/>
        <v>1.04</v>
      </c>
    </row>
    <row r="53" spans="2:15" ht="15.75" x14ac:dyDescent="0.25">
      <c r="B53" s="92">
        <v>46</v>
      </c>
      <c r="C53" s="93" t="str">
        <f t="shared" si="0"/>
        <v>CBDA46</v>
      </c>
      <c r="D53" s="93" t="str">
        <f t="shared" si="7"/>
        <v>CBDA</v>
      </c>
      <c r="E53" s="89" t="s">
        <v>111</v>
      </c>
      <c r="F53" s="133" t="s">
        <v>42</v>
      </c>
      <c r="G53" s="93">
        <v>1</v>
      </c>
      <c r="H53" s="88" t="s">
        <v>32</v>
      </c>
      <c r="I53" s="131">
        <v>0</v>
      </c>
      <c r="J53" s="130">
        <f t="shared" si="8"/>
        <v>0</v>
      </c>
      <c r="K53" s="98">
        <v>100</v>
      </c>
      <c r="L53" s="90">
        <f t="shared" si="9"/>
        <v>100</v>
      </c>
      <c r="M53" s="85">
        <f t="shared" si="10"/>
        <v>0</v>
      </c>
      <c r="O53">
        <f t="shared" si="11"/>
        <v>0</v>
      </c>
    </row>
    <row r="54" spans="2:15" ht="15.75" x14ac:dyDescent="0.25">
      <c r="B54" s="89">
        <v>47</v>
      </c>
      <c r="C54" s="93" t="str">
        <f>CONCATENATE(D54,B35)</f>
        <v>AVULSO28</v>
      </c>
      <c r="D54" s="93" t="str">
        <f t="shared" si="7"/>
        <v>AVULSO</v>
      </c>
      <c r="E54" s="89" t="s">
        <v>98</v>
      </c>
      <c r="F54" s="133" t="s">
        <v>109</v>
      </c>
      <c r="G54" s="93">
        <v>1</v>
      </c>
      <c r="H54" s="88" t="s">
        <v>39</v>
      </c>
      <c r="I54" s="131">
        <v>0.01</v>
      </c>
      <c r="J54" s="130">
        <f t="shared" si="8"/>
        <v>0</v>
      </c>
      <c r="K54" s="98">
        <v>100</v>
      </c>
      <c r="L54" s="90">
        <f t="shared" si="9"/>
        <v>100</v>
      </c>
      <c r="M54" s="85">
        <f t="shared" si="10"/>
        <v>0</v>
      </c>
      <c r="O54">
        <f t="shared" si="11"/>
        <v>0</v>
      </c>
    </row>
    <row r="55" spans="2:15" ht="15.75" x14ac:dyDescent="0.25">
      <c r="B55" s="89">
        <v>48</v>
      </c>
      <c r="C55" s="93" t="str">
        <f t="shared" ref="C55:C86" si="12">CONCATENATE(D55,B55)</f>
        <v>AVULSO48</v>
      </c>
      <c r="D55" s="93" t="str">
        <f t="shared" si="7"/>
        <v>AVULSO</v>
      </c>
      <c r="E55" s="89" t="s">
        <v>98</v>
      </c>
      <c r="F55" s="133" t="s">
        <v>108</v>
      </c>
      <c r="G55" s="89">
        <v>1</v>
      </c>
      <c r="H55" s="88" t="s">
        <v>39</v>
      </c>
      <c r="I55" s="131">
        <v>0.01</v>
      </c>
      <c r="J55" s="130">
        <f t="shared" si="8"/>
        <v>0</v>
      </c>
      <c r="K55" s="98">
        <v>100</v>
      </c>
      <c r="L55" s="90">
        <f t="shared" si="9"/>
        <v>100</v>
      </c>
      <c r="M55" s="85">
        <f t="shared" si="10"/>
        <v>0</v>
      </c>
    </row>
    <row r="56" spans="2:15" ht="15.75" x14ac:dyDescent="0.25">
      <c r="B56" s="92">
        <v>49</v>
      </c>
      <c r="C56" s="93" t="str">
        <f t="shared" si="12"/>
        <v>AVULSO49</v>
      </c>
      <c r="D56" s="93" t="str">
        <f t="shared" si="7"/>
        <v>AVULSO</v>
      </c>
      <c r="E56" s="89" t="s">
        <v>98</v>
      </c>
      <c r="F56" s="133" t="s">
        <v>106</v>
      </c>
      <c r="G56" s="93">
        <v>1</v>
      </c>
      <c r="H56" s="88" t="s">
        <v>32</v>
      </c>
      <c r="I56" s="131">
        <v>0.01</v>
      </c>
      <c r="J56" s="130">
        <f t="shared" si="8"/>
        <v>0</v>
      </c>
      <c r="K56" s="98">
        <v>100</v>
      </c>
      <c r="L56" s="90">
        <f t="shared" si="9"/>
        <v>100</v>
      </c>
      <c r="M56" s="85">
        <f t="shared" si="10"/>
        <v>0</v>
      </c>
    </row>
    <row r="57" spans="2:15" ht="15.75" x14ac:dyDescent="0.25">
      <c r="B57" s="89">
        <v>50</v>
      </c>
      <c r="C57" s="93" t="str">
        <f t="shared" si="12"/>
        <v>AVULSO50</v>
      </c>
      <c r="D57" s="93" t="str">
        <f t="shared" si="7"/>
        <v>AVULSO</v>
      </c>
      <c r="E57" s="89" t="s">
        <v>98</v>
      </c>
      <c r="F57" s="133" t="s">
        <v>104</v>
      </c>
      <c r="G57" s="89">
        <v>1</v>
      </c>
      <c r="H57" s="88" t="s">
        <v>39</v>
      </c>
      <c r="I57" s="131">
        <v>0.01</v>
      </c>
      <c r="J57" s="130">
        <f t="shared" si="8"/>
        <v>0</v>
      </c>
      <c r="K57" s="98">
        <v>100</v>
      </c>
      <c r="L57" s="90">
        <f t="shared" si="9"/>
        <v>100</v>
      </c>
      <c r="M57" s="85">
        <f t="shared" si="10"/>
        <v>0</v>
      </c>
    </row>
    <row r="58" spans="2:15" ht="15.75" x14ac:dyDescent="0.25">
      <c r="B58" s="89">
        <v>51</v>
      </c>
      <c r="C58" s="93" t="str">
        <f t="shared" si="12"/>
        <v>AVULSO51</v>
      </c>
      <c r="D58" s="93" t="str">
        <f t="shared" si="7"/>
        <v>AVULSO</v>
      </c>
      <c r="E58" s="89" t="s">
        <v>98</v>
      </c>
      <c r="F58" s="133" t="s">
        <v>103</v>
      </c>
      <c r="G58" s="89">
        <v>1</v>
      </c>
      <c r="H58" s="88" t="s">
        <v>32</v>
      </c>
      <c r="I58" s="131">
        <v>0.01</v>
      </c>
      <c r="J58" s="130">
        <f t="shared" si="8"/>
        <v>0</v>
      </c>
      <c r="K58" s="98">
        <v>100</v>
      </c>
      <c r="L58" s="90">
        <f t="shared" si="9"/>
        <v>100</v>
      </c>
      <c r="M58" s="85">
        <f t="shared" si="10"/>
        <v>0</v>
      </c>
    </row>
    <row r="59" spans="2:15" ht="15.75" x14ac:dyDescent="0.25">
      <c r="B59" s="92">
        <v>52</v>
      </c>
      <c r="C59" s="93" t="str">
        <f t="shared" si="12"/>
        <v>AVULSO52</v>
      </c>
      <c r="D59" s="93" t="str">
        <f t="shared" si="7"/>
        <v>AVULSO</v>
      </c>
      <c r="E59" s="89" t="s">
        <v>98</v>
      </c>
      <c r="F59" s="133" t="s">
        <v>102</v>
      </c>
      <c r="G59" s="89">
        <v>1</v>
      </c>
      <c r="H59" s="88" t="s">
        <v>32</v>
      </c>
      <c r="I59" s="131">
        <v>0.01</v>
      </c>
      <c r="J59" s="130">
        <f t="shared" si="8"/>
        <v>0</v>
      </c>
      <c r="K59" s="98">
        <v>100</v>
      </c>
      <c r="L59" s="90">
        <f t="shared" si="9"/>
        <v>100</v>
      </c>
      <c r="M59" s="85">
        <f t="shared" si="10"/>
        <v>0</v>
      </c>
    </row>
    <row r="60" spans="2:15" ht="15.75" x14ac:dyDescent="0.25">
      <c r="B60" s="89">
        <v>53</v>
      </c>
      <c r="C60" s="93" t="str">
        <f t="shared" si="12"/>
        <v>AVULSO53</v>
      </c>
      <c r="D60" s="93" t="str">
        <f t="shared" si="7"/>
        <v>AVULSO</v>
      </c>
      <c r="E60" s="89" t="s">
        <v>98</v>
      </c>
      <c r="F60" s="133" t="s">
        <v>101</v>
      </c>
      <c r="G60" s="89">
        <v>1</v>
      </c>
      <c r="H60" s="88" t="s">
        <v>39</v>
      </c>
      <c r="I60" s="131">
        <v>0.01</v>
      </c>
      <c r="J60" s="130">
        <f t="shared" si="8"/>
        <v>0</v>
      </c>
      <c r="K60" s="98">
        <v>100</v>
      </c>
      <c r="L60" s="90">
        <f t="shared" si="9"/>
        <v>100</v>
      </c>
      <c r="M60" s="85">
        <f t="shared" si="10"/>
        <v>0</v>
      </c>
    </row>
    <row r="61" spans="2:15" ht="15.75" x14ac:dyDescent="0.25">
      <c r="B61" s="89">
        <v>54</v>
      </c>
      <c r="C61" s="93" t="str">
        <f t="shared" si="12"/>
        <v>AVULSO54</v>
      </c>
      <c r="D61" s="93" t="str">
        <f t="shared" si="7"/>
        <v>AVULSO</v>
      </c>
      <c r="E61" s="89" t="s">
        <v>98</v>
      </c>
      <c r="F61" s="133" t="s">
        <v>100</v>
      </c>
      <c r="G61" s="89">
        <v>1</v>
      </c>
      <c r="H61" s="88" t="s">
        <v>39</v>
      </c>
      <c r="I61" s="131">
        <v>0.01</v>
      </c>
      <c r="J61" s="130">
        <f t="shared" si="8"/>
        <v>0</v>
      </c>
      <c r="K61" s="98">
        <v>100</v>
      </c>
      <c r="L61" s="90">
        <f t="shared" si="9"/>
        <v>100</v>
      </c>
      <c r="M61" s="85">
        <f t="shared" si="10"/>
        <v>0</v>
      </c>
    </row>
    <row r="62" spans="2:15" ht="15.75" x14ac:dyDescent="0.25">
      <c r="B62" s="92">
        <v>55</v>
      </c>
      <c r="C62" s="93" t="str">
        <f t="shared" si="12"/>
        <v>AVULSO55</v>
      </c>
      <c r="D62" s="93" t="str">
        <f t="shared" si="7"/>
        <v>AVULSO</v>
      </c>
      <c r="E62" s="89" t="s">
        <v>98</v>
      </c>
      <c r="F62" s="133" t="s">
        <v>99</v>
      </c>
      <c r="G62" s="89">
        <v>1</v>
      </c>
      <c r="H62" s="88" t="s">
        <v>39</v>
      </c>
      <c r="I62" s="131">
        <v>0.01</v>
      </c>
      <c r="J62" s="130">
        <f t="shared" si="8"/>
        <v>0</v>
      </c>
      <c r="K62" s="98">
        <v>100</v>
      </c>
      <c r="L62" s="90">
        <f t="shared" si="9"/>
        <v>100</v>
      </c>
      <c r="M62" s="85">
        <f t="shared" si="10"/>
        <v>0</v>
      </c>
    </row>
    <row r="63" spans="2:15" ht="15.75" x14ac:dyDescent="0.25">
      <c r="B63" s="89">
        <v>56</v>
      </c>
      <c r="C63" s="93" t="str">
        <f t="shared" si="12"/>
        <v>AVULSO56</v>
      </c>
      <c r="D63" s="93" t="str">
        <f t="shared" si="7"/>
        <v>AVULSO</v>
      </c>
      <c r="E63" s="89" t="s">
        <v>98</v>
      </c>
      <c r="F63" s="133" t="s">
        <v>97</v>
      </c>
      <c r="G63" s="89">
        <v>1</v>
      </c>
      <c r="H63" s="88" t="s">
        <v>39</v>
      </c>
      <c r="I63" s="131">
        <v>0.01</v>
      </c>
      <c r="J63" s="130">
        <f t="shared" si="8"/>
        <v>0</v>
      </c>
      <c r="K63" s="98">
        <v>100</v>
      </c>
      <c r="L63" s="90">
        <f t="shared" si="9"/>
        <v>100</v>
      </c>
      <c r="M63" s="85">
        <f t="shared" si="10"/>
        <v>0</v>
      </c>
    </row>
    <row r="64" spans="2:15" ht="15.75" x14ac:dyDescent="0.25">
      <c r="B64" s="89">
        <v>57</v>
      </c>
      <c r="C64" s="93" t="str">
        <f t="shared" si="12"/>
        <v>CB1A57</v>
      </c>
      <c r="D64" s="93" t="str">
        <f t="shared" si="7"/>
        <v>CB1A</v>
      </c>
      <c r="E64" s="89" t="s">
        <v>56</v>
      </c>
      <c r="F64" s="132" t="s">
        <v>43</v>
      </c>
      <c r="G64" s="89">
        <v>1</v>
      </c>
      <c r="H64" s="88" t="s">
        <v>39</v>
      </c>
      <c r="I64" s="131">
        <v>0.01</v>
      </c>
      <c r="J64" s="130">
        <f t="shared" si="8"/>
        <v>0</v>
      </c>
      <c r="K64" s="98">
        <v>100</v>
      </c>
      <c r="L64" s="90">
        <f t="shared" si="9"/>
        <v>100</v>
      </c>
      <c r="M64" s="85">
        <f t="shared" si="10"/>
        <v>0</v>
      </c>
    </row>
    <row r="65" spans="2:13" ht="15.75" x14ac:dyDescent="0.25">
      <c r="B65" s="92">
        <v>58</v>
      </c>
      <c r="C65" s="93" t="str">
        <f t="shared" si="12"/>
        <v>EBCB2E3A58</v>
      </c>
      <c r="D65" s="93" t="str">
        <f>IF(E65="Cesta 1","CB1A",IF(E65="Cesta 2","CB2A",IF(E65="Cesta 3","CB3A",IF(E65="Cesta D","CBDA",IF(E65="Cesta 1/2","CB1/2A",IF(E65="Cesta 2/2","CB2/2A",IF(E65="Diversos","AVULSO",IF(E65="Emb. Cesta 2 e 3","EBCB2E3A",IF(E65="","")))))))))</f>
        <v>EBCB2E3A</v>
      </c>
      <c r="E65" s="89" t="s">
        <v>130</v>
      </c>
      <c r="F65" s="132" t="s">
        <v>44</v>
      </c>
      <c r="G65" s="89">
        <v>1</v>
      </c>
      <c r="H65" s="88" t="s">
        <v>39</v>
      </c>
      <c r="I65" s="131">
        <v>0.01</v>
      </c>
      <c r="J65" s="130">
        <f t="shared" si="8"/>
        <v>0</v>
      </c>
      <c r="K65" s="98">
        <v>100</v>
      </c>
      <c r="L65" s="90">
        <f t="shared" si="9"/>
        <v>100</v>
      </c>
      <c r="M65" s="85">
        <f t="shared" si="10"/>
        <v>0</v>
      </c>
    </row>
    <row r="66" spans="2:13" ht="15.75" x14ac:dyDescent="0.25">
      <c r="B66" s="89">
        <v>59</v>
      </c>
      <c r="C66" s="93" t="str">
        <f t="shared" si="12"/>
        <v>EBTCBA59</v>
      </c>
      <c r="D66" s="93" t="str">
        <f t="shared" ref="D66:D107" si="13">IF(E66="Cesta 1","CB1A",IF(E66="Cesta 2","CB2A",IF(E66="Cesta 3","CB3A",IF(E66="Cesta D","CBDA",IF(E66="Cesta 1/2","CB1/2A",IF(E66="Cesta 2/2","CB2/2A",IF(E66="Diversos","AVULSO",IF(E66="Emb. Cesta 2 e 3","EBCB2E3A",IF(E66="Emb. Todas Cestas","EBTCBA",IF(E66="",""))))))))))</f>
        <v>EBTCBA</v>
      </c>
      <c r="E66" s="89" t="s">
        <v>129</v>
      </c>
      <c r="F66" s="132" t="s">
        <v>45</v>
      </c>
      <c r="G66" s="89">
        <v>1</v>
      </c>
      <c r="H66" s="88" t="s">
        <v>39</v>
      </c>
      <c r="I66" s="131">
        <v>0.01</v>
      </c>
      <c r="J66" s="130">
        <f t="shared" si="8"/>
        <v>0</v>
      </c>
      <c r="K66" s="98">
        <v>100</v>
      </c>
      <c r="L66" s="90">
        <f t="shared" si="9"/>
        <v>100</v>
      </c>
      <c r="M66" s="85">
        <f t="shared" si="10"/>
        <v>0</v>
      </c>
    </row>
    <row r="67" spans="2:13" ht="15.75" x14ac:dyDescent="0.25">
      <c r="B67" s="89">
        <v>60</v>
      </c>
      <c r="C67" s="93" t="str">
        <f t="shared" si="12"/>
        <v>EBTCBA60</v>
      </c>
      <c r="D67" s="93" t="str">
        <f t="shared" si="13"/>
        <v>EBTCBA</v>
      </c>
      <c r="E67" s="89" t="s">
        <v>129</v>
      </c>
      <c r="F67" s="132" t="s">
        <v>46</v>
      </c>
      <c r="G67" s="89">
        <v>1</v>
      </c>
      <c r="H67" s="88" t="s">
        <v>39</v>
      </c>
      <c r="I67" s="131">
        <v>0.01</v>
      </c>
      <c r="J67" s="130">
        <f t="shared" si="8"/>
        <v>0</v>
      </c>
      <c r="K67" s="98">
        <v>100</v>
      </c>
      <c r="L67" s="90">
        <f t="shared" si="9"/>
        <v>100</v>
      </c>
      <c r="M67" s="85">
        <f t="shared" si="10"/>
        <v>0</v>
      </c>
    </row>
    <row r="68" spans="2:13" ht="15.75" x14ac:dyDescent="0.25">
      <c r="B68" s="92">
        <v>61</v>
      </c>
      <c r="C68" s="93" t="str">
        <f t="shared" si="12"/>
        <v>EBTCBA61</v>
      </c>
      <c r="D68" s="93" t="str">
        <f t="shared" si="13"/>
        <v>EBTCBA</v>
      </c>
      <c r="E68" s="89" t="s">
        <v>129</v>
      </c>
      <c r="F68" s="132" t="s">
        <v>47</v>
      </c>
      <c r="G68" s="89">
        <v>1</v>
      </c>
      <c r="H68" s="88" t="s">
        <v>39</v>
      </c>
      <c r="I68" s="131">
        <v>0.01</v>
      </c>
      <c r="J68" s="130">
        <f t="shared" si="8"/>
        <v>0</v>
      </c>
      <c r="K68" s="98">
        <v>100</v>
      </c>
      <c r="L68" s="90">
        <f t="shared" si="9"/>
        <v>100</v>
      </c>
      <c r="M68" s="85">
        <f t="shared" si="10"/>
        <v>0</v>
      </c>
    </row>
    <row r="69" spans="2:13" ht="15.75" x14ac:dyDescent="0.25">
      <c r="B69" s="89">
        <v>62</v>
      </c>
      <c r="C69" s="93" t="str">
        <f t="shared" si="12"/>
        <v>EBTCBA62</v>
      </c>
      <c r="D69" s="93" t="str">
        <f t="shared" si="13"/>
        <v>EBTCBA</v>
      </c>
      <c r="E69" s="89" t="s">
        <v>129</v>
      </c>
      <c r="F69" s="132" t="s">
        <v>48</v>
      </c>
      <c r="G69" s="89">
        <v>1</v>
      </c>
      <c r="H69" s="88" t="s">
        <v>39</v>
      </c>
      <c r="I69" s="131">
        <v>0.01</v>
      </c>
      <c r="J69" s="130">
        <f t="shared" si="8"/>
        <v>0</v>
      </c>
      <c r="K69" s="98">
        <v>100</v>
      </c>
      <c r="L69" s="90">
        <f t="shared" si="9"/>
        <v>100</v>
      </c>
      <c r="M69" s="85">
        <f t="shared" si="10"/>
        <v>0</v>
      </c>
    </row>
    <row r="70" spans="2:13" ht="15.75" x14ac:dyDescent="0.25">
      <c r="B70" s="89">
        <v>63</v>
      </c>
      <c r="C70" s="93" t="str">
        <f t="shared" si="12"/>
        <v>EBTCBA63</v>
      </c>
      <c r="D70" s="93" t="str">
        <f t="shared" si="13"/>
        <v>EBTCBA</v>
      </c>
      <c r="E70" s="89" t="s">
        <v>129</v>
      </c>
      <c r="F70" s="132" t="s">
        <v>49</v>
      </c>
      <c r="G70" s="89">
        <v>1</v>
      </c>
      <c r="H70" s="88" t="s">
        <v>39</v>
      </c>
      <c r="I70" s="131">
        <v>0.01</v>
      </c>
      <c r="J70" s="130">
        <f t="shared" si="8"/>
        <v>0</v>
      </c>
      <c r="K70" s="98">
        <v>100</v>
      </c>
      <c r="L70" s="90">
        <f t="shared" si="9"/>
        <v>100</v>
      </c>
      <c r="M70" s="85">
        <f t="shared" si="10"/>
        <v>0</v>
      </c>
    </row>
    <row r="71" spans="2:13" ht="15.75" x14ac:dyDescent="0.25">
      <c r="B71" s="92">
        <v>64</v>
      </c>
      <c r="C71" s="93" t="str">
        <f t="shared" si="12"/>
        <v>EBTCBA64</v>
      </c>
      <c r="D71" s="93" t="str">
        <f t="shared" si="13"/>
        <v>EBTCBA</v>
      </c>
      <c r="E71" s="89" t="s">
        <v>129</v>
      </c>
      <c r="F71" s="132" t="s">
        <v>50</v>
      </c>
      <c r="G71" s="89">
        <v>1</v>
      </c>
      <c r="H71" s="88" t="s">
        <v>39</v>
      </c>
      <c r="I71" s="131">
        <v>0.01</v>
      </c>
      <c r="J71" s="130">
        <f t="shared" si="8"/>
        <v>0</v>
      </c>
      <c r="K71" s="98">
        <v>100</v>
      </c>
      <c r="L71" s="90">
        <f t="shared" si="9"/>
        <v>100</v>
      </c>
      <c r="M71" s="85">
        <f t="shared" si="10"/>
        <v>0</v>
      </c>
    </row>
    <row r="72" spans="2:13" ht="15.75" x14ac:dyDescent="0.25">
      <c r="B72" s="89">
        <v>65</v>
      </c>
      <c r="C72" s="93" t="str">
        <f t="shared" si="12"/>
        <v>65</v>
      </c>
      <c r="D72" s="93" t="str">
        <f t="shared" si="13"/>
        <v/>
      </c>
      <c r="E72" s="89"/>
      <c r="F72" s="88"/>
      <c r="G72" s="89"/>
      <c r="H72" s="89"/>
      <c r="I72" s="129"/>
      <c r="J72" s="89"/>
      <c r="K72" s="128"/>
      <c r="L72" s="89"/>
      <c r="M72" s="127"/>
    </row>
    <row r="73" spans="2:13" ht="15.75" x14ac:dyDescent="0.25">
      <c r="B73" s="89">
        <v>66</v>
      </c>
      <c r="C73" s="93" t="str">
        <f t="shared" si="12"/>
        <v>66</v>
      </c>
      <c r="D73" s="93" t="str">
        <f t="shared" si="13"/>
        <v/>
      </c>
      <c r="E73" s="89"/>
      <c r="F73" s="88"/>
      <c r="G73" s="89"/>
      <c r="H73" s="89"/>
      <c r="I73" s="129"/>
      <c r="J73" s="89"/>
      <c r="K73" s="128"/>
      <c r="L73" s="89"/>
      <c r="M73" s="127"/>
    </row>
    <row r="74" spans="2:13" ht="15.75" x14ac:dyDescent="0.25">
      <c r="B74" s="92">
        <v>67</v>
      </c>
      <c r="C74" s="93" t="str">
        <f t="shared" si="12"/>
        <v>67</v>
      </c>
      <c r="D74" s="93" t="str">
        <f t="shared" si="13"/>
        <v/>
      </c>
      <c r="E74" s="89"/>
      <c r="F74" s="88"/>
      <c r="G74" s="89"/>
      <c r="H74" s="89"/>
      <c r="I74" s="129"/>
      <c r="J74" s="89"/>
      <c r="K74" s="128"/>
      <c r="L74" s="89"/>
      <c r="M74" s="127"/>
    </row>
    <row r="75" spans="2:13" ht="15.75" x14ac:dyDescent="0.25">
      <c r="B75" s="89">
        <v>68</v>
      </c>
      <c r="C75" s="93" t="str">
        <f t="shared" si="12"/>
        <v>68</v>
      </c>
      <c r="D75" s="93" t="str">
        <f t="shared" si="13"/>
        <v/>
      </c>
      <c r="E75" s="89"/>
      <c r="F75" s="88"/>
      <c r="G75" s="89"/>
      <c r="H75" s="89"/>
      <c r="I75" s="129"/>
      <c r="J75" s="89"/>
      <c r="K75" s="128"/>
      <c r="L75" s="89"/>
      <c r="M75" s="127"/>
    </row>
    <row r="76" spans="2:13" ht="15.75" x14ac:dyDescent="0.25">
      <c r="B76" s="89">
        <v>69</v>
      </c>
      <c r="C76" s="93" t="str">
        <f t="shared" si="12"/>
        <v>69</v>
      </c>
      <c r="D76" s="93" t="str">
        <f t="shared" si="13"/>
        <v/>
      </c>
      <c r="E76" s="89"/>
      <c r="F76" s="88"/>
      <c r="G76" s="89"/>
      <c r="H76" s="89"/>
      <c r="I76" s="129"/>
      <c r="J76" s="89"/>
      <c r="K76" s="128"/>
      <c r="L76" s="89"/>
      <c r="M76" s="127"/>
    </row>
    <row r="77" spans="2:13" ht="15.75" x14ac:dyDescent="0.25">
      <c r="B77" s="92">
        <v>70</v>
      </c>
      <c r="C77" s="93" t="str">
        <f t="shared" si="12"/>
        <v>70</v>
      </c>
      <c r="D77" s="93" t="str">
        <f t="shared" si="13"/>
        <v/>
      </c>
      <c r="E77" s="89"/>
      <c r="F77" s="88"/>
      <c r="G77" s="89"/>
      <c r="H77" s="89"/>
      <c r="I77" s="129"/>
      <c r="J77" s="89"/>
      <c r="K77" s="128"/>
      <c r="L77" s="89"/>
      <c r="M77" s="127"/>
    </row>
    <row r="78" spans="2:13" ht="15.75" x14ac:dyDescent="0.25">
      <c r="B78" s="89">
        <v>71</v>
      </c>
      <c r="C78" s="93" t="str">
        <f t="shared" si="12"/>
        <v>71</v>
      </c>
      <c r="D78" s="93" t="str">
        <f t="shared" si="13"/>
        <v/>
      </c>
      <c r="E78" s="89"/>
      <c r="F78" s="88"/>
      <c r="G78" s="89"/>
      <c r="H78" s="89"/>
      <c r="I78" s="129"/>
      <c r="J78" s="89"/>
      <c r="K78" s="128"/>
      <c r="L78" s="89"/>
      <c r="M78" s="127"/>
    </row>
    <row r="79" spans="2:13" ht="15.75" x14ac:dyDescent="0.25">
      <c r="B79" s="89">
        <v>72</v>
      </c>
      <c r="C79" s="93" t="str">
        <f t="shared" si="12"/>
        <v>72</v>
      </c>
      <c r="D79" s="93" t="str">
        <f t="shared" si="13"/>
        <v/>
      </c>
      <c r="E79" s="89"/>
      <c r="F79" s="88"/>
      <c r="G79" s="89"/>
      <c r="H79" s="89"/>
      <c r="I79" s="129"/>
      <c r="J79" s="89"/>
      <c r="K79" s="128"/>
      <c r="L79" s="89"/>
      <c r="M79" s="127"/>
    </row>
    <row r="80" spans="2:13" ht="15.75" x14ac:dyDescent="0.25">
      <c r="B80" s="92">
        <v>73</v>
      </c>
      <c r="C80" s="93" t="str">
        <f t="shared" si="12"/>
        <v>73</v>
      </c>
      <c r="D80" s="93" t="str">
        <f t="shared" si="13"/>
        <v/>
      </c>
      <c r="E80" s="89"/>
      <c r="F80" s="88"/>
      <c r="G80" s="89"/>
      <c r="H80" s="89"/>
      <c r="I80" s="129"/>
      <c r="J80" s="89"/>
      <c r="K80" s="128"/>
      <c r="L80" s="89"/>
      <c r="M80" s="127"/>
    </row>
    <row r="81" spans="2:13" ht="15.75" x14ac:dyDescent="0.25">
      <c r="B81" s="89">
        <v>74</v>
      </c>
      <c r="C81" s="93" t="str">
        <f t="shared" si="12"/>
        <v>74</v>
      </c>
      <c r="D81" s="93" t="str">
        <f t="shared" si="13"/>
        <v/>
      </c>
      <c r="E81" s="89"/>
      <c r="F81" s="88"/>
      <c r="G81" s="89"/>
      <c r="H81" s="89"/>
      <c r="I81" s="129"/>
      <c r="J81" s="89"/>
      <c r="K81" s="128"/>
      <c r="L81" s="89"/>
      <c r="M81" s="127"/>
    </row>
    <row r="82" spans="2:13" ht="15.75" x14ac:dyDescent="0.25">
      <c r="B82" s="89">
        <v>75</v>
      </c>
      <c r="C82" s="93" t="str">
        <f t="shared" si="12"/>
        <v>75</v>
      </c>
      <c r="D82" s="93" t="str">
        <f t="shared" si="13"/>
        <v/>
      </c>
      <c r="E82" s="89"/>
      <c r="F82" s="88"/>
      <c r="G82" s="89"/>
      <c r="H82" s="89"/>
      <c r="I82" s="129"/>
      <c r="J82" s="89"/>
      <c r="K82" s="128"/>
      <c r="L82" s="89"/>
      <c r="M82" s="127"/>
    </row>
    <row r="83" spans="2:13" ht="15.75" x14ac:dyDescent="0.25">
      <c r="B83" s="92">
        <v>76</v>
      </c>
      <c r="C83" s="93" t="str">
        <f t="shared" si="12"/>
        <v>76</v>
      </c>
      <c r="D83" s="93" t="str">
        <f t="shared" si="13"/>
        <v/>
      </c>
      <c r="E83" s="89"/>
      <c r="F83" s="88"/>
      <c r="G83" s="89"/>
      <c r="H83" s="89"/>
      <c r="I83" s="129"/>
      <c r="J83" s="89"/>
      <c r="K83" s="128"/>
      <c r="L83" s="89"/>
      <c r="M83" s="127"/>
    </row>
    <row r="84" spans="2:13" ht="15.75" x14ac:dyDescent="0.25">
      <c r="B84" s="89">
        <v>77</v>
      </c>
      <c r="C84" s="93" t="str">
        <f t="shared" si="12"/>
        <v>77</v>
      </c>
      <c r="D84" s="93" t="str">
        <f t="shared" si="13"/>
        <v/>
      </c>
      <c r="E84" s="89"/>
      <c r="F84" s="88"/>
      <c r="G84" s="89"/>
      <c r="H84" s="89"/>
      <c r="I84" s="129"/>
      <c r="J84" s="89"/>
      <c r="K84" s="128"/>
      <c r="L84" s="89"/>
      <c r="M84" s="127"/>
    </row>
    <row r="85" spans="2:13" ht="15.75" x14ac:dyDescent="0.25">
      <c r="B85" s="89">
        <v>78</v>
      </c>
      <c r="C85" s="93" t="str">
        <f t="shared" si="12"/>
        <v>78</v>
      </c>
      <c r="D85" s="93" t="str">
        <f t="shared" si="13"/>
        <v/>
      </c>
      <c r="E85" s="89"/>
      <c r="F85" s="88"/>
      <c r="G85" s="89"/>
      <c r="H85" s="89"/>
      <c r="I85" s="129"/>
      <c r="J85" s="89"/>
      <c r="K85" s="128"/>
      <c r="L85" s="89"/>
      <c r="M85" s="127"/>
    </row>
    <row r="86" spans="2:13" ht="15.75" x14ac:dyDescent="0.25">
      <c r="B86" s="92">
        <v>79</v>
      </c>
      <c r="C86" s="93" t="str">
        <f t="shared" si="12"/>
        <v>79</v>
      </c>
      <c r="D86" s="93" t="str">
        <f t="shared" si="13"/>
        <v/>
      </c>
      <c r="E86" s="89"/>
      <c r="F86" s="88"/>
      <c r="G86" s="89"/>
      <c r="H86" s="89"/>
      <c r="I86" s="129"/>
      <c r="J86" s="89"/>
      <c r="K86" s="128"/>
      <c r="L86" s="89"/>
      <c r="M86" s="127"/>
    </row>
    <row r="87" spans="2:13" ht="15.75" x14ac:dyDescent="0.25">
      <c r="B87" s="89">
        <v>80</v>
      </c>
      <c r="C87" s="93" t="str">
        <f t="shared" ref="C87:C107" si="14">CONCATENATE(D87,B87)</f>
        <v>80</v>
      </c>
      <c r="D87" s="93" t="str">
        <f t="shared" si="13"/>
        <v/>
      </c>
      <c r="E87" s="89"/>
      <c r="F87" s="88"/>
      <c r="G87" s="89"/>
      <c r="H87" s="89"/>
      <c r="I87" s="129"/>
      <c r="J87" s="89"/>
      <c r="K87" s="128"/>
      <c r="L87" s="89"/>
      <c r="M87" s="127"/>
    </row>
    <row r="88" spans="2:13" ht="15.75" x14ac:dyDescent="0.25">
      <c r="B88" s="89">
        <v>81</v>
      </c>
      <c r="C88" s="93" t="str">
        <f t="shared" si="14"/>
        <v>81</v>
      </c>
      <c r="D88" s="93" t="str">
        <f t="shared" si="13"/>
        <v/>
      </c>
      <c r="E88" s="89"/>
      <c r="F88" s="88"/>
      <c r="G88" s="89"/>
      <c r="H88" s="89"/>
      <c r="I88" s="129"/>
      <c r="J88" s="89"/>
      <c r="K88" s="128"/>
      <c r="L88" s="89"/>
      <c r="M88" s="127"/>
    </row>
    <row r="89" spans="2:13" ht="15.75" x14ac:dyDescent="0.25">
      <c r="B89" s="92">
        <v>82</v>
      </c>
      <c r="C89" s="93" t="str">
        <f t="shared" si="14"/>
        <v>82</v>
      </c>
      <c r="D89" s="93" t="str">
        <f t="shared" si="13"/>
        <v/>
      </c>
      <c r="E89" s="89"/>
      <c r="F89" s="88"/>
      <c r="G89" s="89"/>
      <c r="H89" s="89"/>
      <c r="I89" s="129"/>
      <c r="J89" s="89"/>
      <c r="K89" s="128"/>
      <c r="L89" s="89"/>
      <c r="M89" s="127"/>
    </row>
    <row r="90" spans="2:13" ht="15.75" x14ac:dyDescent="0.25">
      <c r="B90" s="89">
        <v>83</v>
      </c>
      <c r="C90" s="93" t="str">
        <f t="shared" si="14"/>
        <v>83</v>
      </c>
      <c r="D90" s="93" t="str">
        <f t="shared" si="13"/>
        <v/>
      </c>
      <c r="E90" s="89"/>
      <c r="F90" s="88"/>
      <c r="G90" s="89"/>
      <c r="H90" s="89"/>
      <c r="I90" s="129"/>
      <c r="J90" s="89"/>
      <c r="K90" s="128"/>
      <c r="L90" s="89"/>
      <c r="M90" s="127"/>
    </row>
    <row r="91" spans="2:13" ht="15.75" x14ac:dyDescent="0.25">
      <c r="B91" s="89">
        <v>84</v>
      </c>
      <c r="C91" s="93" t="str">
        <f t="shared" si="14"/>
        <v>84</v>
      </c>
      <c r="D91" s="93" t="str">
        <f t="shared" si="13"/>
        <v/>
      </c>
      <c r="E91" s="89"/>
      <c r="F91" s="88"/>
      <c r="G91" s="89"/>
      <c r="H91" s="89"/>
      <c r="I91" s="129"/>
      <c r="J91" s="89"/>
      <c r="K91" s="128"/>
      <c r="L91" s="89"/>
      <c r="M91" s="127"/>
    </row>
    <row r="92" spans="2:13" ht="15.75" x14ac:dyDescent="0.25">
      <c r="B92" s="92">
        <v>85</v>
      </c>
      <c r="C92" s="93" t="str">
        <f t="shared" si="14"/>
        <v>85</v>
      </c>
      <c r="D92" s="93" t="str">
        <f t="shared" si="13"/>
        <v/>
      </c>
      <c r="E92" s="89"/>
      <c r="F92" s="88"/>
      <c r="G92" s="89"/>
      <c r="H92" s="89"/>
      <c r="I92" s="129"/>
      <c r="J92" s="89"/>
      <c r="K92" s="128"/>
      <c r="L92" s="89"/>
      <c r="M92" s="127"/>
    </row>
    <row r="93" spans="2:13" ht="15.75" x14ac:dyDescent="0.25">
      <c r="B93" s="89">
        <v>86</v>
      </c>
      <c r="C93" s="93" t="str">
        <f t="shared" si="14"/>
        <v>86</v>
      </c>
      <c r="D93" s="93" t="str">
        <f t="shared" si="13"/>
        <v/>
      </c>
      <c r="E93" s="89"/>
      <c r="F93" s="88"/>
      <c r="G93" s="89"/>
      <c r="H93" s="89"/>
      <c r="I93" s="129"/>
      <c r="J93" s="89"/>
      <c r="K93" s="128"/>
      <c r="L93" s="89"/>
      <c r="M93" s="127"/>
    </row>
    <row r="94" spans="2:13" ht="15.75" x14ac:dyDescent="0.25">
      <c r="B94" s="89">
        <v>87</v>
      </c>
      <c r="C94" s="93" t="str">
        <f t="shared" si="14"/>
        <v>87</v>
      </c>
      <c r="D94" s="93" t="str">
        <f t="shared" si="13"/>
        <v/>
      </c>
      <c r="E94" s="89"/>
      <c r="F94" s="88"/>
      <c r="G94" s="89"/>
      <c r="H94" s="89"/>
      <c r="I94" s="129"/>
      <c r="J94" s="89"/>
      <c r="K94" s="128"/>
      <c r="L94" s="89"/>
      <c r="M94" s="127"/>
    </row>
    <row r="95" spans="2:13" ht="15.75" x14ac:dyDescent="0.25">
      <c r="B95" s="92">
        <v>88</v>
      </c>
      <c r="C95" s="93" t="str">
        <f t="shared" si="14"/>
        <v>88</v>
      </c>
      <c r="D95" s="93" t="str">
        <f t="shared" si="13"/>
        <v/>
      </c>
      <c r="E95" s="89"/>
      <c r="F95" s="88"/>
      <c r="G95" s="89"/>
      <c r="H95" s="89"/>
      <c r="I95" s="129"/>
      <c r="J95" s="89"/>
      <c r="K95" s="128"/>
      <c r="L95" s="89"/>
      <c r="M95" s="127"/>
    </row>
    <row r="96" spans="2:13" ht="15.75" x14ac:dyDescent="0.25">
      <c r="B96" s="89">
        <v>89</v>
      </c>
      <c r="C96" s="93" t="str">
        <f t="shared" si="14"/>
        <v>89</v>
      </c>
      <c r="D96" s="93" t="str">
        <f t="shared" si="13"/>
        <v/>
      </c>
      <c r="E96" s="89"/>
      <c r="F96" s="88"/>
      <c r="G96" s="89"/>
      <c r="H96" s="89"/>
      <c r="I96" s="129"/>
      <c r="J96" s="89"/>
      <c r="K96" s="128"/>
      <c r="L96" s="89"/>
      <c r="M96" s="127"/>
    </row>
    <row r="97" spans="2:13" ht="15.75" x14ac:dyDescent="0.25">
      <c r="B97" s="89">
        <v>90</v>
      </c>
      <c r="C97" s="93" t="str">
        <f t="shared" si="14"/>
        <v>90</v>
      </c>
      <c r="D97" s="93" t="str">
        <f t="shared" si="13"/>
        <v/>
      </c>
      <c r="E97" s="89"/>
      <c r="F97" s="88"/>
      <c r="G97" s="89"/>
      <c r="H97" s="89"/>
      <c r="I97" s="129"/>
      <c r="J97" s="89"/>
      <c r="K97" s="128"/>
      <c r="L97" s="89"/>
      <c r="M97" s="127"/>
    </row>
    <row r="98" spans="2:13" ht="15.75" x14ac:dyDescent="0.25">
      <c r="B98" s="92">
        <v>91</v>
      </c>
      <c r="C98" s="93" t="str">
        <f t="shared" si="14"/>
        <v>91</v>
      </c>
      <c r="D98" s="93" t="str">
        <f t="shared" si="13"/>
        <v/>
      </c>
      <c r="E98" s="89"/>
      <c r="F98" s="88"/>
      <c r="G98" s="89"/>
      <c r="H98" s="89"/>
      <c r="I98" s="129"/>
      <c r="J98" s="89"/>
      <c r="K98" s="128"/>
      <c r="L98" s="89"/>
      <c r="M98" s="127"/>
    </row>
    <row r="99" spans="2:13" ht="15.75" x14ac:dyDescent="0.25">
      <c r="B99" s="89">
        <v>92</v>
      </c>
      <c r="C99" s="93" t="str">
        <f t="shared" si="14"/>
        <v>92</v>
      </c>
      <c r="D99" s="93" t="str">
        <f t="shared" si="13"/>
        <v/>
      </c>
      <c r="E99" s="89"/>
      <c r="F99" s="88"/>
      <c r="G99" s="89"/>
      <c r="H99" s="89"/>
      <c r="I99" s="129"/>
      <c r="J99" s="89"/>
      <c r="K99" s="128"/>
      <c r="L99" s="89"/>
      <c r="M99" s="127"/>
    </row>
    <row r="100" spans="2:13" ht="15.75" x14ac:dyDescent="0.25">
      <c r="B100" s="89">
        <v>93</v>
      </c>
      <c r="C100" s="93" t="str">
        <f t="shared" si="14"/>
        <v>93</v>
      </c>
      <c r="D100" s="93" t="str">
        <f t="shared" si="13"/>
        <v/>
      </c>
      <c r="E100" s="89"/>
      <c r="F100" s="88"/>
      <c r="G100" s="89"/>
      <c r="H100" s="89"/>
      <c r="I100" s="129"/>
      <c r="J100" s="89"/>
      <c r="K100" s="128"/>
      <c r="L100" s="89"/>
      <c r="M100" s="127"/>
    </row>
    <row r="101" spans="2:13" ht="15.75" x14ac:dyDescent="0.25">
      <c r="B101" s="92">
        <v>94</v>
      </c>
      <c r="C101" s="93" t="str">
        <f t="shared" si="14"/>
        <v>94</v>
      </c>
      <c r="D101" s="93" t="str">
        <f t="shared" si="13"/>
        <v/>
      </c>
      <c r="E101" s="89"/>
      <c r="F101" s="88"/>
      <c r="G101" s="89"/>
      <c r="H101" s="89"/>
      <c r="I101" s="129"/>
      <c r="J101" s="89"/>
      <c r="K101" s="128"/>
      <c r="L101" s="89"/>
      <c r="M101" s="127"/>
    </row>
    <row r="102" spans="2:13" ht="15.75" x14ac:dyDescent="0.25">
      <c r="B102" s="89">
        <v>95</v>
      </c>
      <c r="C102" s="93" t="str">
        <f t="shared" si="14"/>
        <v>95</v>
      </c>
      <c r="D102" s="93" t="str">
        <f t="shared" si="13"/>
        <v/>
      </c>
      <c r="E102" s="89"/>
      <c r="F102" s="88"/>
      <c r="G102" s="89"/>
      <c r="H102" s="89"/>
      <c r="I102" s="129"/>
      <c r="J102" s="89"/>
      <c r="K102" s="128"/>
      <c r="L102" s="89"/>
      <c r="M102" s="127"/>
    </row>
    <row r="103" spans="2:13" ht="15.75" x14ac:dyDescent="0.25">
      <c r="B103" s="89">
        <v>96</v>
      </c>
      <c r="C103" s="93" t="str">
        <f t="shared" si="14"/>
        <v>96</v>
      </c>
      <c r="D103" s="93" t="str">
        <f t="shared" si="13"/>
        <v/>
      </c>
      <c r="E103" s="89"/>
      <c r="F103" s="88"/>
      <c r="G103" s="89"/>
      <c r="H103" s="89"/>
      <c r="I103" s="129"/>
      <c r="J103" s="89"/>
      <c r="K103" s="128"/>
      <c r="L103" s="89"/>
      <c r="M103" s="127"/>
    </row>
    <row r="104" spans="2:13" ht="15.75" x14ac:dyDescent="0.25">
      <c r="B104" s="92">
        <v>97</v>
      </c>
      <c r="C104" s="93" t="str">
        <f t="shared" si="14"/>
        <v>97</v>
      </c>
      <c r="D104" s="93" t="str">
        <f t="shared" si="13"/>
        <v/>
      </c>
      <c r="E104" s="89"/>
      <c r="F104" s="88"/>
      <c r="G104" s="89"/>
      <c r="H104" s="89"/>
      <c r="I104" s="129"/>
      <c r="J104" s="89"/>
      <c r="K104" s="128"/>
      <c r="L104" s="89"/>
      <c r="M104" s="127"/>
    </row>
    <row r="105" spans="2:13" ht="15.75" x14ac:dyDescent="0.25">
      <c r="B105" s="89">
        <v>98</v>
      </c>
      <c r="C105" s="93" t="str">
        <f t="shared" si="14"/>
        <v>98</v>
      </c>
      <c r="D105" s="93" t="str">
        <f t="shared" si="13"/>
        <v/>
      </c>
      <c r="E105" s="89"/>
      <c r="F105" s="88"/>
      <c r="G105" s="89"/>
      <c r="H105" s="89"/>
      <c r="I105" s="129"/>
      <c r="J105" s="89"/>
      <c r="K105" s="128"/>
      <c r="L105" s="89"/>
      <c r="M105" s="127"/>
    </row>
    <row r="106" spans="2:13" ht="15.75" x14ac:dyDescent="0.25">
      <c r="B106" s="89">
        <v>99</v>
      </c>
      <c r="C106" s="93" t="str">
        <f t="shared" si="14"/>
        <v>99</v>
      </c>
      <c r="D106" s="93" t="str">
        <f t="shared" si="13"/>
        <v/>
      </c>
      <c r="E106" s="89"/>
      <c r="F106" s="88"/>
      <c r="G106" s="89"/>
      <c r="H106" s="89"/>
      <c r="I106" s="129"/>
      <c r="J106" s="89"/>
      <c r="K106" s="128"/>
      <c r="L106" s="89"/>
      <c r="M106" s="127"/>
    </row>
    <row r="107" spans="2:13" ht="15.75" x14ac:dyDescent="0.25">
      <c r="B107" s="92">
        <v>100</v>
      </c>
      <c r="C107" s="93" t="str">
        <f t="shared" si="14"/>
        <v>100</v>
      </c>
      <c r="D107" s="93" t="str">
        <f t="shared" si="13"/>
        <v/>
      </c>
      <c r="E107" s="89"/>
      <c r="F107" s="88"/>
      <c r="G107" s="89"/>
      <c r="H107" s="89"/>
      <c r="I107" s="129"/>
      <c r="J107" s="89"/>
      <c r="K107" s="128"/>
      <c r="L107" s="89"/>
      <c r="M107" s="127"/>
    </row>
    <row r="108" spans="2:13" hidden="1" x14ac:dyDescent="0.25">
      <c r="C108" s="89"/>
      <c r="D108" s="89"/>
    </row>
    <row r="109" spans="2:13" hidden="1" x14ac:dyDescent="0.25"/>
    <row r="110" spans="2:13" hidden="1" x14ac:dyDescent="0.25"/>
  </sheetData>
  <sheetProtection selectLockedCells="1" selectUnlockedCells="1"/>
  <autoFilter ref="B7:M107"/>
  <conditionalFormatting sqref="E109:E1048576 E17:E53 E7">
    <cfRule type="cellIs" dxfId="49" priority="1" operator="equal">
      <formula>"Cesta 1"</formula>
    </cfRule>
  </conditionalFormatting>
  <dataValidations count="2">
    <dataValidation type="list" allowBlank="1" showInputMessage="1" showErrorMessage="1" sqref="E109:E1048576">
      <formula1>"Cesta 1,Cesta 2,Cesta 3"</formula1>
    </dataValidation>
    <dataValidation type="list" allowBlank="1" showInputMessage="1" showErrorMessage="1" sqref="E8:E107">
      <formula1>"Cesta 1,Cesta 1/2,Cesta 2, Cesta 2/2,Cesta 3, Cesta D,Diversos,Emb. Cesta 2 e 3,Emb. Todas Cestas"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T84"/>
  <sheetViews>
    <sheetView showGridLines="0" showRowColHeaders="0" zoomScaleNormal="100" workbookViewId="0">
      <selection activeCell="L8" sqref="L8"/>
    </sheetView>
  </sheetViews>
  <sheetFormatPr defaultColWidth="9.140625" defaultRowHeight="15" zeroHeight="1" x14ac:dyDescent="0.25"/>
  <cols>
    <col min="1" max="1" width="2.85546875" customWidth="1"/>
    <col min="2" max="2" width="15.28515625" customWidth="1"/>
    <col min="3" max="3" width="14" customWidth="1"/>
    <col min="4" max="4" width="15.42578125" customWidth="1"/>
    <col min="5" max="5" width="16" style="33" bestFit="1" customWidth="1"/>
    <col min="6" max="6" width="16.28515625" customWidth="1"/>
    <col min="7" max="7" width="15.7109375" customWidth="1"/>
    <col min="8" max="8" width="15" customWidth="1"/>
    <col min="9" max="9" width="12.85546875" customWidth="1"/>
    <col min="10" max="10" width="5.5703125" customWidth="1"/>
    <col min="11" max="11" width="13.28515625" customWidth="1"/>
    <col min="12" max="12" width="16.7109375" customWidth="1"/>
    <col min="13" max="13" width="5.85546875" customWidth="1"/>
    <col min="14" max="14" width="2.85546875" customWidth="1"/>
  </cols>
  <sheetData>
    <row r="1" spans="1:20" s="14" customFormat="1" ht="15.75" customHeight="1" x14ac:dyDescent="0.25">
      <c r="E1" s="30"/>
    </row>
    <row r="2" spans="1:20" s="14" customFormat="1" x14ac:dyDescent="0.25">
      <c r="E2" s="30"/>
    </row>
    <row r="3" spans="1:20" s="15" customFormat="1" ht="9.75" customHeight="1" x14ac:dyDescent="0.25">
      <c r="E3" s="31"/>
    </row>
    <row r="4" spans="1:20" ht="9.75" customHeight="1" x14ac:dyDescent="0.25">
      <c r="A4" s="23"/>
      <c r="B4" s="23"/>
      <c r="C4" s="23"/>
      <c r="D4" s="23"/>
      <c r="E4" s="32"/>
      <c r="F4" s="23"/>
      <c r="G4" s="23"/>
      <c r="H4" s="23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</row>
    <row r="5" spans="1:20" x14ac:dyDescent="0.25">
      <c r="A5" s="23"/>
      <c r="B5" s="23"/>
      <c r="C5" s="23"/>
      <c r="D5" s="23"/>
      <c r="E5" s="32"/>
      <c r="F5" s="23"/>
      <c r="G5" s="23"/>
      <c r="H5" s="23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 ht="6" customHeight="1" x14ac:dyDescent="0.25"/>
    <row r="7" spans="1:20" x14ac:dyDescent="0.25">
      <c r="E7"/>
    </row>
    <row r="8" spans="1:20" ht="17.25" customHeight="1" x14ac:dyDescent="0.25">
      <c r="B8" s="239" t="s">
        <v>51</v>
      </c>
      <c r="C8" s="240">
        <f>MAX('ENTRADA | SAIDA'!B:B)+1</f>
        <v>1</v>
      </c>
      <c r="D8" s="245" t="s">
        <v>52</v>
      </c>
      <c r="E8" s="246">
        <f>MAX(Tabela25[ID])+1</f>
        <v>1</v>
      </c>
      <c r="F8" s="239" t="s">
        <v>53</v>
      </c>
      <c r="G8" s="240" t="str">
        <f>CONCATENATE(G9,F9)</f>
        <v>0LTC</v>
      </c>
      <c r="H8" s="242"/>
      <c r="I8" s="16"/>
      <c r="K8" s="42" t="s">
        <v>69</v>
      </c>
      <c r="L8" s="47"/>
    </row>
    <row r="9" spans="1:20" x14ac:dyDescent="0.25">
      <c r="B9" s="241"/>
      <c r="C9" s="243"/>
      <c r="D9" s="247"/>
      <c r="E9" s="248"/>
      <c r="F9" s="244" t="s">
        <v>54</v>
      </c>
      <c r="G9" s="244">
        <f>E8-1</f>
        <v>0</v>
      </c>
      <c r="H9" s="243"/>
      <c r="I9" s="16"/>
      <c r="K9" s="16"/>
      <c r="L9" s="16"/>
    </row>
    <row r="10" spans="1:20" ht="17.25" customHeight="1" x14ac:dyDescent="0.3">
      <c r="B10" s="307" t="s">
        <v>55</v>
      </c>
      <c r="C10" s="307"/>
      <c r="D10" s="307"/>
      <c r="F10" s="316" t="s">
        <v>61</v>
      </c>
      <c r="G10" s="316"/>
      <c r="H10" s="316"/>
      <c r="I10" s="316"/>
      <c r="K10" s="42" t="s">
        <v>70</v>
      </c>
      <c r="L10" s="48"/>
    </row>
    <row r="11" spans="1:20" ht="15.75" x14ac:dyDescent="0.25">
      <c r="B11" s="43" t="s">
        <v>56</v>
      </c>
      <c r="C11" s="43" t="s">
        <v>57</v>
      </c>
      <c r="D11" s="43" t="s">
        <v>58</v>
      </c>
      <c r="F11" s="314" t="s">
        <v>62</v>
      </c>
      <c r="G11" s="315" t="s">
        <v>44</v>
      </c>
      <c r="H11" s="314" t="s">
        <v>63</v>
      </c>
      <c r="I11" s="314" t="s">
        <v>64</v>
      </c>
      <c r="K11" s="16"/>
      <c r="L11" s="16"/>
    </row>
    <row r="12" spans="1:20" ht="18" x14ac:dyDescent="0.25">
      <c r="B12" s="44"/>
      <c r="C12" s="44"/>
      <c r="D12" s="44"/>
      <c r="F12" s="314"/>
      <c r="G12" s="315"/>
      <c r="H12" s="314"/>
      <c r="I12" s="314"/>
      <c r="K12" s="42" t="s">
        <v>9</v>
      </c>
      <c r="L12" s="47"/>
    </row>
    <row r="13" spans="1:20" ht="18" x14ac:dyDescent="0.25">
      <c r="B13" s="43" t="s">
        <v>59</v>
      </c>
      <c r="C13" s="43" t="s">
        <v>60</v>
      </c>
      <c r="D13" s="43" t="s">
        <v>42</v>
      </c>
      <c r="F13" s="46">
        <f>B12</f>
        <v>0</v>
      </c>
      <c r="G13" s="46">
        <f>SUM(C12+D12+C14)</f>
        <v>0</v>
      </c>
      <c r="H13" s="46">
        <f>B12</f>
        <v>0</v>
      </c>
      <c r="I13" s="46">
        <f>C12</f>
        <v>0</v>
      </c>
      <c r="L13" s="16"/>
    </row>
    <row r="14" spans="1:20" ht="18" x14ac:dyDescent="0.25">
      <c r="B14" s="44"/>
      <c r="C14" s="44"/>
      <c r="D14" s="44"/>
      <c r="F14" s="314" t="s">
        <v>65</v>
      </c>
      <c r="G14" s="314" t="s">
        <v>66</v>
      </c>
      <c r="H14" s="314" t="s">
        <v>68</v>
      </c>
      <c r="I14" s="314" t="s">
        <v>50</v>
      </c>
      <c r="K14" s="49" t="s">
        <v>71</v>
      </c>
      <c r="L14" s="45">
        <f>SUM(B12:D14)</f>
        <v>0</v>
      </c>
    </row>
    <row r="15" spans="1:20" x14ac:dyDescent="0.25">
      <c r="E15"/>
      <c r="F15" s="314"/>
      <c r="G15" s="314"/>
      <c r="H15" s="314"/>
      <c r="I15" s="314"/>
    </row>
    <row r="16" spans="1:20" ht="18" x14ac:dyDescent="0.25">
      <c r="E16"/>
      <c r="F16" s="46">
        <f>D12</f>
        <v>0</v>
      </c>
      <c r="G16" s="46">
        <f>SUM(B12+B14+D12)</f>
        <v>0</v>
      </c>
      <c r="H16" s="46">
        <f>C12</f>
        <v>0</v>
      </c>
      <c r="I16" s="46">
        <f>(B12+C12+D12+B14+C14)/80</f>
        <v>0</v>
      </c>
    </row>
    <row r="17" spans="2:12" x14ac:dyDescent="0.25">
      <c r="E17"/>
    </row>
    <row r="18" spans="2:12" x14ac:dyDescent="0.25">
      <c r="E18"/>
    </row>
    <row r="19" spans="2:12" x14ac:dyDescent="0.25">
      <c r="E19"/>
    </row>
    <row r="20" spans="2:12" ht="5.25" customHeight="1" x14ac:dyDescent="0.25">
      <c r="E20"/>
    </row>
    <row r="21" spans="2:12" s="14" customFormat="1" ht="6" customHeight="1" x14ac:dyDescent="0.25"/>
    <row r="22" spans="2:12" ht="12" customHeight="1" x14ac:dyDescent="0.25">
      <c r="E22"/>
    </row>
    <row r="23" spans="2:12" x14ac:dyDescent="0.25">
      <c r="B23" s="319" t="s">
        <v>72</v>
      </c>
      <c r="C23" s="319"/>
      <c r="D23" s="319"/>
      <c r="E23" s="319"/>
      <c r="F23" s="319"/>
      <c r="G23" s="319"/>
      <c r="H23" s="319"/>
    </row>
    <row r="24" spans="2:12" s="58" customFormat="1" ht="30" customHeight="1" x14ac:dyDescent="0.25">
      <c r="B24" s="56" t="s">
        <v>73</v>
      </c>
      <c r="C24" s="56" t="s">
        <v>74</v>
      </c>
      <c r="D24" s="56" t="s">
        <v>75</v>
      </c>
      <c r="E24" s="56" t="s">
        <v>76</v>
      </c>
      <c r="F24" s="57" t="s">
        <v>77</v>
      </c>
      <c r="G24" s="56" t="s">
        <v>78</v>
      </c>
      <c r="H24" s="56" t="s">
        <v>79</v>
      </c>
      <c r="J24" s="320" t="s">
        <v>80</v>
      </c>
      <c r="K24" s="320"/>
      <c r="L24" s="320"/>
    </row>
    <row r="25" spans="2:12" x14ac:dyDescent="0.25">
      <c r="B25" s="50" t="s">
        <v>31</v>
      </c>
      <c r="C25" s="51">
        <f>ESTOQUE!K8</f>
        <v>0</v>
      </c>
      <c r="D25" s="52">
        <f>(E47+H47+E59+H59+E71)</f>
        <v>0</v>
      </c>
      <c r="E25" s="52">
        <f>ESTOQUE!K8-D25</f>
        <v>0</v>
      </c>
      <c r="F25" s="53" t="str">
        <f>IF(E25&lt;=6300,"COMPRAR","EM ESTOQUE")</f>
        <v>COMPRAR</v>
      </c>
      <c r="G25" s="54">
        <f>CESTAS!I8</f>
        <v>3.31</v>
      </c>
      <c r="H25" s="55">
        <f t="shared" ref="H25:H42" si="0">IF(E25&lt;=0,G25*E25,"")</f>
        <v>0</v>
      </c>
      <c r="I25" s="118">
        <f>ROUNDDOWN(E25, 0)</f>
        <v>0</v>
      </c>
      <c r="J25" s="320"/>
      <c r="K25" s="320"/>
      <c r="L25" s="320"/>
    </row>
    <row r="26" spans="2:12" ht="15" customHeight="1" x14ac:dyDescent="0.25">
      <c r="B26" s="50" t="s">
        <v>33</v>
      </c>
      <c r="C26" s="51">
        <f>ESTOQUE!K9</f>
        <v>0</v>
      </c>
      <c r="D26" s="52">
        <f t="shared" ref="D26:D33" si="1">(E48+H48+E60+H60+E72)</f>
        <v>0</v>
      </c>
      <c r="E26" s="52">
        <f>ESTOQUE!K9-D26</f>
        <v>0</v>
      </c>
      <c r="F26" s="53" t="str">
        <f>IF(E26&lt;=2500,"COMPRAR","EM ESTOQUE")</f>
        <v>COMPRAR</v>
      </c>
      <c r="G26" s="54">
        <f>CESTAS!I9</f>
        <v>8.48</v>
      </c>
      <c r="H26" s="55">
        <f t="shared" si="0"/>
        <v>0</v>
      </c>
      <c r="I26" s="118">
        <f>ROUNDDOWN(E26, 0)</f>
        <v>0</v>
      </c>
      <c r="J26" s="321">
        <f>-SUMIF(H25:H41,"&lt;=0")</f>
        <v>0</v>
      </c>
      <c r="K26" s="322"/>
      <c r="L26" s="323"/>
    </row>
    <row r="27" spans="2:12" ht="15" customHeight="1" x14ac:dyDescent="0.25">
      <c r="B27" s="50" t="s">
        <v>34</v>
      </c>
      <c r="C27" s="51">
        <f>ESTOQUE!K10</f>
        <v>0</v>
      </c>
      <c r="D27" s="52">
        <f>(E49+H49+E61+H61+E73)</f>
        <v>0</v>
      </c>
      <c r="E27" s="52">
        <f>ESTOQUE!K10-D27</f>
        <v>0</v>
      </c>
      <c r="F27" s="53" t="str">
        <f>IF(E27&lt;=1600,"COMPRAR","EM ESTOQUE")</f>
        <v>COMPRAR</v>
      </c>
      <c r="G27" s="54">
        <f>CESTAS!I10</f>
        <v>2.85</v>
      </c>
      <c r="H27" s="55">
        <f t="shared" si="0"/>
        <v>0</v>
      </c>
      <c r="I27" s="118">
        <f t="shared" ref="I27:I40" si="2">ROUNDDOWN(E27, 0)</f>
        <v>0</v>
      </c>
      <c r="J27" s="324"/>
      <c r="K27" s="325"/>
      <c r="L27" s="326"/>
    </row>
    <row r="28" spans="2:12" ht="15" customHeight="1" x14ac:dyDescent="0.25">
      <c r="B28" s="50" t="s">
        <v>35</v>
      </c>
      <c r="C28" s="51">
        <f>ESTOQUE!K11</f>
        <v>0</v>
      </c>
      <c r="D28" s="52">
        <f>(E50+H50+E62+H62+E74)</f>
        <v>0</v>
      </c>
      <c r="E28" s="52">
        <f>ESTOQUE!K11-D28</f>
        <v>0</v>
      </c>
      <c r="F28" s="53" t="str">
        <f>IF(E28&lt;=1900,"COMPRAR","EM ESTOQUE")</f>
        <v>COMPRAR</v>
      </c>
      <c r="G28" s="54">
        <f>CESTAS!I11</f>
        <v>3.43</v>
      </c>
      <c r="H28" s="55">
        <f t="shared" si="0"/>
        <v>0</v>
      </c>
      <c r="I28" s="118">
        <f t="shared" si="2"/>
        <v>0</v>
      </c>
      <c r="J28" s="327"/>
      <c r="K28" s="328"/>
      <c r="L28" s="329"/>
    </row>
    <row r="29" spans="2:12" x14ac:dyDescent="0.25">
      <c r="B29" s="50" t="s">
        <v>36</v>
      </c>
      <c r="C29" s="51">
        <f>ESTOQUE!K12</f>
        <v>0</v>
      </c>
      <c r="D29" s="52">
        <f t="shared" si="1"/>
        <v>0</v>
      </c>
      <c r="E29" s="52">
        <f>ESTOQUE!K12-D29</f>
        <v>0</v>
      </c>
      <c r="F29" s="53" t="str">
        <f>IF(E29&lt;=2700,"COMPRAR","EM ESTOQUE")</f>
        <v>COMPRAR</v>
      </c>
      <c r="G29" s="54">
        <f>CESTAS!I12</f>
        <v>4.4400000000000004</v>
      </c>
      <c r="H29" s="55">
        <f t="shared" si="0"/>
        <v>0</v>
      </c>
      <c r="I29" s="118">
        <f t="shared" si="2"/>
        <v>0</v>
      </c>
    </row>
    <row r="30" spans="2:12" x14ac:dyDescent="0.25">
      <c r="B30" s="50" t="s">
        <v>37</v>
      </c>
      <c r="C30" s="51">
        <f>ESTOQUE!K13</f>
        <v>0</v>
      </c>
      <c r="D30" s="52">
        <f t="shared" si="1"/>
        <v>0</v>
      </c>
      <c r="E30" s="52">
        <f>ESTOQUE!K13-D30</f>
        <v>0</v>
      </c>
      <c r="F30" s="53" t="str">
        <f>IF(E30&lt;=330,"COMPRAR","EM ESTOQUE")</f>
        <v>COMPRAR</v>
      </c>
      <c r="G30" s="54">
        <f>CESTAS!I13</f>
        <v>8.56</v>
      </c>
      <c r="H30" s="55">
        <f t="shared" si="0"/>
        <v>0</v>
      </c>
      <c r="I30" s="118">
        <f t="shared" si="2"/>
        <v>0</v>
      </c>
    </row>
    <row r="31" spans="2:12" x14ac:dyDescent="0.25">
      <c r="B31" s="50" t="s">
        <v>38</v>
      </c>
      <c r="C31" s="51">
        <f>ESTOQUE!K14</f>
        <v>0</v>
      </c>
      <c r="D31" s="52">
        <f t="shared" si="1"/>
        <v>0</v>
      </c>
      <c r="E31" s="52">
        <f>ESTOQUE!K14-D31</f>
        <v>0</v>
      </c>
      <c r="F31" s="53" t="str">
        <f>IF(E31&lt;=1340,"COMPRAR","EM ESTOQUE")</f>
        <v>COMPRAR</v>
      </c>
      <c r="G31" s="54">
        <f>CESTAS!I14</f>
        <v>10.79</v>
      </c>
      <c r="H31" s="55">
        <f t="shared" si="0"/>
        <v>0</v>
      </c>
      <c r="I31" s="118">
        <f t="shared" si="2"/>
        <v>0</v>
      </c>
    </row>
    <row r="32" spans="2:12" x14ac:dyDescent="0.25">
      <c r="B32" s="50" t="s">
        <v>40</v>
      </c>
      <c r="C32" s="51">
        <f>ESTOQUE!K15</f>
        <v>0</v>
      </c>
      <c r="D32" s="52">
        <f t="shared" si="1"/>
        <v>0</v>
      </c>
      <c r="E32" s="52">
        <f>ESTOQUE!K15-D32</f>
        <v>0</v>
      </c>
      <c r="F32" s="53" t="str">
        <f>IF(E32&lt;=810,"COMPRAR","EM ESTOQUE")</f>
        <v>COMPRAR</v>
      </c>
      <c r="G32" s="54">
        <f>CESTAS!I15</f>
        <v>0.9</v>
      </c>
      <c r="H32" s="55">
        <f t="shared" si="0"/>
        <v>0</v>
      </c>
      <c r="I32" s="118">
        <f t="shared" si="2"/>
        <v>0</v>
      </c>
    </row>
    <row r="33" spans="2:9" x14ac:dyDescent="0.25">
      <c r="B33" s="50" t="s">
        <v>41</v>
      </c>
      <c r="C33" s="51">
        <f>ESTOQUE!K16</f>
        <v>0</v>
      </c>
      <c r="D33" s="52">
        <f t="shared" si="1"/>
        <v>0</v>
      </c>
      <c r="E33" s="52">
        <f>ESTOQUE!K16-D33</f>
        <v>0</v>
      </c>
      <c r="F33" s="53" t="str">
        <f>IF(E33&lt;=1630,"COMPRAR","EM ESTOQUE")</f>
        <v>COMPRAR</v>
      </c>
      <c r="G33" s="54">
        <f>CESTAS!I16</f>
        <v>1.04</v>
      </c>
      <c r="H33" s="55">
        <f t="shared" si="0"/>
        <v>0</v>
      </c>
      <c r="I33" s="118">
        <f t="shared" si="2"/>
        <v>0</v>
      </c>
    </row>
    <row r="34" spans="2:9" x14ac:dyDescent="0.25">
      <c r="B34" s="50" t="s">
        <v>62</v>
      </c>
      <c r="C34" s="51">
        <f>ESTOQUE!K18</f>
        <v>0</v>
      </c>
      <c r="D34" s="52">
        <f>F13</f>
        <v>0</v>
      </c>
      <c r="E34" s="52">
        <f>ESTOQUE!K18-D34</f>
        <v>0</v>
      </c>
      <c r="F34" s="53" t="str">
        <f>IF(E34&lt;=500,"COMPRAR","EM ESTOQUE")</f>
        <v>COMPRAR</v>
      </c>
      <c r="G34" s="54">
        <f>CESTAS!I64</f>
        <v>0.01</v>
      </c>
      <c r="H34" s="55">
        <f t="shared" si="0"/>
        <v>0</v>
      </c>
      <c r="I34" s="118">
        <f t="shared" si="2"/>
        <v>0</v>
      </c>
    </row>
    <row r="35" spans="2:9" x14ac:dyDescent="0.25">
      <c r="B35" s="50" t="s">
        <v>44</v>
      </c>
      <c r="C35" s="51">
        <f>ESTOQUE!K19</f>
        <v>0</v>
      </c>
      <c r="D35" s="52">
        <f>G13</f>
        <v>0</v>
      </c>
      <c r="E35" s="52">
        <f>ESTOQUE!K19-D35</f>
        <v>0</v>
      </c>
      <c r="F35" s="53" t="str">
        <f>IF(E35&lt;=910,"COMPRAR","EM ESTOQUE")</f>
        <v>COMPRAR</v>
      </c>
      <c r="G35" s="54">
        <f>CESTAS!I65</f>
        <v>0.01</v>
      </c>
      <c r="H35" s="55">
        <f t="shared" si="0"/>
        <v>0</v>
      </c>
      <c r="I35" s="118">
        <f t="shared" si="2"/>
        <v>0</v>
      </c>
    </row>
    <row r="36" spans="2:9" x14ac:dyDescent="0.25">
      <c r="B36" s="50" t="s">
        <v>63</v>
      </c>
      <c r="C36" s="51">
        <f>ESTOQUE!K20</f>
        <v>0</v>
      </c>
      <c r="D36" s="52">
        <f>H13</f>
        <v>0</v>
      </c>
      <c r="E36" s="52">
        <f>ESTOQUE!K20-D36</f>
        <v>0</v>
      </c>
      <c r="F36" s="53" t="str">
        <f>IF(E36&lt;=500,"COMPRAR","EM ESTOQUE")</f>
        <v>COMPRAR</v>
      </c>
      <c r="G36" s="54">
        <f>CESTAS!I66</f>
        <v>0.01</v>
      </c>
      <c r="H36" s="55">
        <f t="shared" si="0"/>
        <v>0</v>
      </c>
      <c r="I36" s="118">
        <f t="shared" si="2"/>
        <v>0</v>
      </c>
    </row>
    <row r="37" spans="2:9" x14ac:dyDescent="0.25">
      <c r="B37" s="50" t="s">
        <v>64</v>
      </c>
      <c r="C37" s="51">
        <f>ESTOQUE!K21</f>
        <v>0</v>
      </c>
      <c r="D37" s="52">
        <f>I13</f>
        <v>0</v>
      </c>
      <c r="E37" s="52">
        <f>ESTOQUE!K21-D37</f>
        <v>0</v>
      </c>
      <c r="F37" s="53" t="str">
        <f>IF(E37&lt;=650,"COMPRAR","EM ESTOQUE")</f>
        <v>COMPRAR</v>
      </c>
      <c r="G37" s="54">
        <f>CESTAS!I67</f>
        <v>0.01</v>
      </c>
      <c r="H37" s="55">
        <f t="shared" si="0"/>
        <v>0</v>
      </c>
      <c r="I37" s="118">
        <f t="shared" si="2"/>
        <v>0</v>
      </c>
    </row>
    <row r="38" spans="2:9" x14ac:dyDescent="0.25">
      <c r="B38" s="50" t="s">
        <v>65</v>
      </c>
      <c r="C38" s="51">
        <f>ESTOQUE!K22</f>
        <v>0</v>
      </c>
      <c r="D38" s="52">
        <f>F16</f>
        <v>0</v>
      </c>
      <c r="E38" s="52">
        <f>ESTOQUE!K22-D38</f>
        <v>0</v>
      </c>
      <c r="F38" s="53" t="str">
        <f>IF(E38&lt;=300,"COMPRAR","EM ESTOQUE")</f>
        <v>COMPRAR</v>
      </c>
      <c r="G38" s="54">
        <f>CESTAS!I68</f>
        <v>0.01</v>
      </c>
      <c r="H38" s="55">
        <f t="shared" si="0"/>
        <v>0</v>
      </c>
      <c r="I38" s="118">
        <f t="shared" si="2"/>
        <v>0</v>
      </c>
    </row>
    <row r="39" spans="2:9" x14ac:dyDescent="0.25">
      <c r="B39" s="50" t="s">
        <v>66</v>
      </c>
      <c r="C39" s="51">
        <f>ESTOQUE!K23</f>
        <v>0</v>
      </c>
      <c r="D39" s="52">
        <f>G16</f>
        <v>0</v>
      </c>
      <c r="E39" s="52">
        <f>ESTOQUE!K23-D39</f>
        <v>0</v>
      </c>
      <c r="F39" s="53" t="str">
        <f>IF(E39&lt;=700,"COMPRAR","EM ESTOQUE")</f>
        <v>COMPRAR</v>
      </c>
      <c r="G39" s="54">
        <f>CESTAS!I69</f>
        <v>0.01</v>
      </c>
      <c r="H39" s="55">
        <f t="shared" si="0"/>
        <v>0</v>
      </c>
      <c r="I39" s="118">
        <f t="shared" si="2"/>
        <v>0</v>
      </c>
    </row>
    <row r="40" spans="2:9" x14ac:dyDescent="0.25">
      <c r="B40" s="50" t="s">
        <v>67</v>
      </c>
      <c r="C40" s="51">
        <f>ESTOQUE!K24</f>
        <v>0</v>
      </c>
      <c r="D40" s="52">
        <f>H16</f>
        <v>0</v>
      </c>
      <c r="E40" s="52">
        <f>ESTOQUE!K24-D40</f>
        <v>0</v>
      </c>
      <c r="F40" s="53" t="str">
        <f>IF(E40&lt;=700,"COMPRAR","EM ESTOQUE")</f>
        <v>COMPRAR</v>
      </c>
      <c r="G40" s="54">
        <f>CESTAS!I70</f>
        <v>0.01</v>
      </c>
      <c r="H40" s="55">
        <f t="shared" si="0"/>
        <v>0</v>
      </c>
      <c r="I40" s="118">
        <f t="shared" si="2"/>
        <v>0</v>
      </c>
    </row>
    <row r="41" spans="2:9" x14ac:dyDescent="0.25">
      <c r="B41" s="50" t="s">
        <v>50</v>
      </c>
      <c r="C41" s="51">
        <f>ESTOQUE!K25</f>
        <v>0</v>
      </c>
      <c r="D41" s="52">
        <f>I16</f>
        <v>0</v>
      </c>
      <c r="E41" s="52">
        <f>ESTOQUE!K25-D41</f>
        <v>0</v>
      </c>
      <c r="F41" s="53" t="str">
        <f>IF(E41&lt;=20,"COMPRAR","EM ESTOQUE")</f>
        <v>COMPRAR</v>
      </c>
      <c r="G41" s="54">
        <f>CESTAS!I71</f>
        <v>0.01</v>
      </c>
      <c r="H41" s="55">
        <f t="shared" si="0"/>
        <v>0</v>
      </c>
      <c r="I41" s="118">
        <f>ROUNDDOWN(C41, 0)</f>
        <v>0</v>
      </c>
    </row>
    <row r="42" spans="2:9" x14ac:dyDescent="0.25">
      <c r="B42" s="50" t="s">
        <v>42</v>
      </c>
      <c r="C42" s="51">
        <f>ESTOQUE!K17</f>
        <v>0</v>
      </c>
      <c r="D42" s="52">
        <f>D14</f>
        <v>0</v>
      </c>
      <c r="E42" s="52">
        <f>ESTOQUE!K17-D42</f>
        <v>0</v>
      </c>
      <c r="F42" s="225" t="str">
        <f>IF(E42&lt;=0," - ","EM ESTOQUE")</f>
        <v xml:space="preserve"> - </v>
      </c>
      <c r="G42" s="54">
        <f>CESTAS!I53</f>
        <v>0</v>
      </c>
      <c r="H42" s="55">
        <f t="shared" si="0"/>
        <v>0</v>
      </c>
      <c r="I42" s="118">
        <f>ROUNDDOWN(C42, 0)</f>
        <v>0</v>
      </c>
    </row>
    <row r="43" spans="2:9" x14ac:dyDescent="0.25"/>
    <row r="44" spans="2:9" x14ac:dyDescent="0.25"/>
    <row r="45" spans="2:9" x14ac:dyDescent="0.25">
      <c r="B45" s="330" t="s">
        <v>56</v>
      </c>
      <c r="C45" s="330"/>
      <c r="D45" s="330"/>
      <c r="E45" s="330"/>
      <c r="F45" s="331" t="s">
        <v>57</v>
      </c>
      <c r="G45" s="332"/>
      <c r="H45" s="333"/>
    </row>
    <row r="46" spans="2:9" x14ac:dyDescent="0.25">
      <c r="B46" s="59" t="s">
        <v>73</v>
      </c>
      <c r="C46" s="59" t="s">
        <v>81</v>
      </c>
      <c r="D46" s="59" t="s">
        <v>82</v>
      </c>
      <c r="E46" s="59" t="s">
        <v>83</v>
      </c>
      <c r="F46" s="60" t="s">
        <v>81</v>
      </c>
      <c r="G46" s="60" t="s">
        <v>82</v>
      </c>
      <c r="H46" s="60" t="s">
        <v>83</v>
      </c>
    </row>
    <row r="47" spans="2:9" x14ac:dyDescent="0.25">
      <c r="B47" s="68" t="str">
        <f>B25</f>
        <v>Arroz</v>
      </c>
      <c r="C47" s="64">
        <f>CESTAS!G8</f>
        <v>2.5</v>
      </c>
      <c r="D47" s="65">
        <f>$B$12</f>
        <v>0</v>
      </c>
      <c r="E47" s="193">
        <f>Lista!S18</f>
        <v>0</v>
      </c>
      <c r="F47" s="66">
        <f>Lista!X18</f>
        <v>5</v>
      </c>
      <c r="G47" s="67">
        <f>$C$12</f>
        <v>0</v>
      </c>
      <c r="H47" s="194">
        <f>Lista!AC18</f>
        <v>0</v>
      </c>
    </row>
    <row r="48" spans="2:9" x14ac:dyDescent="0.25">
      <c r="B48" s="68" t="str">
        <f t="shared" ref="B48:B55" si="3">B26</f>
        <v>Feijão</v>
      </c>
      <c r="C48" s="64">
        <f>CESTAS!G9</f>
        <v>1</v>
      </c>
      <c r="D48" s="65">
        <f t="shared" ref="D48:D55" si="4">$B$12</f>
        <v>0</v>
      </c>
      <c r="E48" s="193">
        <f>Lista!S19</f>
        <v>0</v>
      </c>
      <c r="F48" s="66">
        <f>Lista!X19</f>
        <v>2</v>
      </c>
      <c r="G48" s="67">
        <f t="shared" ref="G48:G55" si="5">$C$12</f>
        <v>0</v>
      </c>
      <c r="H48" s="194">
        <f>Lista!AC19</f>
        <v>0</v>
      </c>
    </row>
    <row r="49" spans="2:8" x14ac:dyDescent="0.25">
      <c r="B49" s="68" t="str">
        <f t="shared" si="3"/>
        <v>Fubá</v>
      </c>
      <c r="C49" s="64">
        <f>CESTAS!G10</f>
        <v>1</v>
      </c>
      <c r="D49" s="65">
        <f t="shared" si="4"/>
        <v>0</v>
      </c>
      <c r="E49" s="193">
        <f>Lista!S20</f>
        <v>0</v>
      </c>
      <c r="F49" s="66">
        <f>Lista!X20</f>
        <v>1</v>
      </c>
      <c r="G49" s="67">
        <f t="shared" si="5"/>
        <v>0</v>
      </c>
      <c r="H49" s="194">
        <f>Lista!AC20</f>
        <v>0</v>
      </c>
    </row>
    <row r="50" spans="2:8" x14ac:dyDescent="0.25">
      <c r="B50" s="68" t="str">
        <f t="shared" si="3"/>
        <v>Açúcar</v>
      </c>
      <c r="C50" s="64">
        <f>CESTAS!G11</f>
        <v>1</v>
      </c>
      <c r="D50" s="65">
        <f t="shared" si="4"/>
        <v>0</v>
      </c>
      <c r="E50" s="193">
        <f>Lista!S21</f>
        <v>0</v>
      </c>
      <c r="F50" s="66">
        <f>Lista!X21</f>
        <v>1.5</v>
      </c>
      <c r="G50" s="67">
        <f t="shared" si="5"/>
        <v>0</v>
      </c>
      <c r="H50" s="194">
        <f>Lista!AC21</f>
        <v>0</v>
      </c>
    </row>
    <row r="51" spans="2:8" x14ac:dyDescent="0.25">
      <c r="B51" s="68" t="str">
        <f t="shared" si="3"/>
        <v>Espaguete</v>
      </c>
      <c r="C51" s="64">
        <f>CESTAS!G12</f>
        <v>1.5</v>
      </c>
      <c r="D51" s="65">
        <f t="shared" si="4"/>
        <v>0</v>
      </c>
      <c r="E51" s="193">
        <f>Lista!S22</f>
        <v>0</v>
      </c>
      <c r="F51" s="66">
        <f>Lista!X22</f>
        <v>2</v>
      </c>
      <c r="G51" s="67">
        <f t="shared" si="5"/>
        <v>0</v>
      </c>
      <c r="H51" s="194">
        <f>Lista!AC22</f>
        <v>0</v>
      </c>
    </row>
    <row r="52" spans="2:8" x14ac:dyDescent="0.25">
      <c r="B52" s="68" t="str">
        <f t="shared" si="3"/>
        <v>Café</v>
      </c>
      <c r="C52" s="64">
        <f>CESTAS!G13</f>
        <v>0.25</v>
      </c>
      <c r="D52" s="65">
        <f t="shared" si="4"/>
        <v>0</v>
      </c>
      <c r="E52" s="193">
        <f>Lista!S23</f>
        <v>0</v>
      </c>
      <c r="F52" s="66">
        <f>Lista!X23</f>
        <v>0.25</v>
      </c>
      <c r="G52" s="67">
        <f t="shared" si="5"/>
        <v>0</v>
      </c>
      <c r="H52" s="194">
        <f>Lista!AC23</f>
        <v>0</v>
      </c>
    </row>
    <row r="53" spans="2:8" x14ac:dyDescent="0.25">
      <c r="B53" s="68" t="str">
        <f t="shared" si="3"/>
        <v>Óleo</v>
      </c>
      <c r="C53" s="64">
        <f>CESTAS!G14</f>
        <v>1</v>
      </c>
      <c r="D53" s="65">
        <f t="shared" si="4"/>
        <v>0</v>
      </c>
      <c r="E53" s="193">
        <f>Lista!S24</f>
        <v>0</v>
      </c>
      <c r="F53" s="66">
        <f>Lista!X24</f>
        <v>1</v>
      </c>
      <c r="G53" s="67">
        <f t="shared" si="5"/>
        <v>0</v>
      </c>
      <c r="H53" s="194">
        <f>Lista!AC24</f>
        <v>0</v>
      </c>
    </row>
    <row r="54" spans="2:8" x14ac:dyDescent="0.25">
      <c r="B54" s="68" t="str">
        <f t="shared" si="3"/>
        <v>Sal</v>
      </c>
      <c r="C54" s="64">
        <f>CESTAS!G15</f>
        <v>0.5</v>
      </c>
      <c r="D54" s="65">
        <f t="shared" si="4"/>
        <v>0</v>
      </c>
      <c r="E54" s="193">
        <f>Lista!S25</f>
        <v>0</v>
      </c>
      <c r="F54" s="66">
        <f>Lista!X25</f>
        <v>0.5</v>
      </c>
      <c r="G54" s="67">
        <f t="shared" si="5"/>
        <v>0</v>
      </c>
      <c r="H54" s="194">
        <f>Lista!AC25</f>
        <v>0</v>
      </c>
    </row>
    <row r="55" spans="2:8" x14ac:dyDescent="0.25">
      <c r="B55" s="68" t="str">
        <f t="shared" si="3"/>
        <v>Sabão</v>
      </c>
      <c r="C55" s="64">
        <f>CESTAS!G16</f>
        <v>1</v>
      </c>
      <c r="D55" s="65">
        <f t="shared" si="4"/>
        <v>0</v>
      </c>
      <c r="E55" s="193">
        <f>Lista!S26</f>
        <v>0</v>
      </c>
      <c r="F55" s="66">
        <f>Lista!X26</f>
        <v>1</v>
      </c>
      <c r="G55" s="67">
        <f t="shared" si="5"/>
        <v>0</v>
      </c>
      <c r="H55" s="194">
        <f>Lista!AC26</f>
        <v>0</v>
      </c>
    </row>
    <row r="56" spans="2:8" x14ac:dyDescent="0.25"/>
    <row r="57" spans="2:8" x14ac:dyDescent="0.25">
      <c r="B57" s="308" t="s">
        <v>58</v>
      </c>
      <c r="C57" s="308"/>
      <c r="D57" s="308"/>
      <c r="E57" s="308"/>
      <c r="F57" s="309" t="s">
        <v>59</v>
      </c>
      <c r="G57" s="310"/>
      <c r="H57" s="311"/>
    </row>
    <row r="58" spans="2:8" x14ac:dyDescent="0.25">
      <c r="B58" s="62" t="s">
        <v>73</v>
      </c>
      <c r="C58" s="62" t="s">
        <v>81</v>
      </c>
      <c r="D58" s="62" t="s">
        <v>82</v>
      </c>
      <c r="E58" s="62" t="s">
        <v>83</v>
      </c>
      <c r="F58" s="63" t="s">
        <v>81</v>
      </c>
      <c r="G58" s="63" t="s">
        <v>82</v>
      </c>
      <c r="H58" s="63" t="s">
        <v>83</v>
      </c>
    </row>
    <row r="59" spans="2:8" x14ac:dyDescent="0.25">
      <c r="B59" s="71" t="str">
        <f>B25</f>
        <v>Arroz</v>
      </c>
      <c r="C59" s="72">
        <f>Lista!AH18</f>
        <v>7.5</v>
      </c>
      <c r="D59" s="73">
        <f>$D$12</f>
        <v>0</v>
      </c>
      <c r="E59" s="195">
        <f>Lista!AM18</f>
        <v>0</v>
      </c>
      <c r="F59" s="69">
        <f>Lista!AR3</f>
        <v>2.5</v>
      </c>
      <c r="G59" s="70">
        <f>$B$14</f>
        <v>0</v>
      </c>
      <c r="H59" s="232">
        <f>Lista!AW18</f>
        <v>0</v>
      </c>
    </row>
    <row r="60" spans="2:8" x14ac:dyDescent="0.25">
      <c r="B60" s="71" t="str">
        <f t="shared" ref="B60:B67" si="6">B26</f>
        <v>Feijão</v>
      </c>
      <c r="C60" s="72">
        <f>Lista!AH19</f>
        <v>3</v>
      </c>
      <c r="D60" s="73">
        <f t="shared" ref="D60:D67" si="7">$D$12</f>
        <v>0</v>
      </c>
      <c r="E60" s="195">
        <f>Lista!AM19</f>
        <v>0</v>
      </c>
      <c r="F60" s="69">
        <f>Lista!AR4</f>
        <v>1</v>
      </c>
      <c r="G60" s="70">
        <f t="shared" ref="G60:G67" si="8">$B$14</f>
        <v>0</v>
      </c>
      <c r="H60" s="232">
        <f>Lista!AW19</f>
        <v>0</v>
      </c>
    </row>
    <row r="61" spans="2:8" x14ac:dyDescent="0.25">
      <c r="B61" s="71" t="str">
        <f t="shared" si="6"/>
        <v>Fubá</v>
      </c>
      <c r="C61" s="72">
        <f>Lista!AH20</f>
        <v>2</v>
      </c>
      <c r="D61" s="73">
        <f t="shared" si="7"/>
        <v>0</v>
      </c>
      <c r="E61" s="195">
        <f>Lista!AM20</f>
        <v>0</v>
      </c>
      <c r="F61" s="69">
        <f>Lista!AR5</f>
        <v>1</v>
      </c>
      <c r="G61" s="70">
        <f t="shared" si="8"/>
        <v>0</v>
      </c>
      <c r="H61" s="232">
        <f>Lista!AW20</f>
        <v>0</v>
      </c>
    </row>
    <row r="62" spans="2:8" x14ac:dyDescent="0.25">
      <c r="B62" s="71" t="str">
        <f t="shared" si="6"/>
        <v>Açúcar</v>
      </c>
      <c r="C62" s="72">
        <f>Lista!AH21</f>
        <v>2</v>
      </c>
      <c r="D62" s="73">
        <f t="shared" si="7"/>
        <v>0</v>
      </c>
      <c r="E62" s="195">
        <f>Lista!AM21</f>
        <v>0</v>
      </c>
      <c r="F62" s="69">
        <f>Lista!AR6</f>
        <v>1</v>
      </c>
      <c r="G62" s="70">
        <f t="shared" si="8"/>
        <v>0</v>
      </c>
      <c r="H62" s="232">
        <f>Lista!AW21</f>
        <v>0</v>
      </c>
    </row>
    <row r="63" spans="2:8" x14ac:dyDescent="0.25">
      <c r="B63" s="71" t="str">
        <f t="shared" si="6"/>
        <v>Espaguete</v>
      </c>
      <c r="C63" s="72">
        <f>Lista!AH22</f>
        <v>3</v>
      </c>
      <c r="D63" s="73">
        <f t="shared" si="7"/>
        <v>0</v>
      </c>
      <c r="E63" s="195">
        <f>Lista!AM22</f>
        <v>0</v>
      </c>
      <c r="F63" s="69">
        <f>Lista!AR7</f>
        <v>1.5</v>
      </c>
      <c r="G63" s="70">
        <f t="shared" si="8"/>
        <v>0</v>
      </c>
      <c r="H63" s="232">
        <f>Lista!AW22</f>
        <v>0</v>
      </c>
    </row>
    <row r="64" spans="2:8" x14ac:dyDescent="0.25">
      <c r="B64" s="71" t="str">
        <f t="shared" si="6"/>
        <v>Café</v>
      </c>
      <c r="C64" s="72">
        <f>Lista!AH23</f>
        <v>0.25</v>
      </c>
      <c r="D64" s="73">
        <f t="shared" si="7"/>
        <v>0</v>
      </c>
      <c r="E64" s="195">
        <f>Lista!AM23</f>
        <v>0</v>
      </c>
      <c r="F64" s="69">
        <f>Lista!AR8</f>
        <v>0.25</v>
      </c>
      <c r="G64" s="70">
        <f t="shared" si="8"/>
        <v>0</v>
      </c>
      <c r="H64" s="232">
        <f>Lista!AW23</f>
        <v>0</v>
      </c>
    </row>
    <row r="65" spans="2:11" x14ac:dyDescent="0.25">
      <c r="B65" s="71" t="str">
        <f t="shared" si="6"/>
        <v>Óleo</v>
      </c>
      <c r="C65" s="72">
        <f>Lista!AH24</f>
        <v>1</v>
      </c>
      <c r="D65" s="73">
        <f t="shared" si="7"/>
        <v>0</v>
      </c>
      <c r="E65" s="195">
        <f>Lista!AM24</f>
        <v>0</v>
      </c>
      <c r="F65" s="69">
        <f>Lista!AR9</f>
        <v>0</v>
      </c>
      <c r="G65" s="70">
        <f t="shared" si="8"/>
        <v>0</v>
      </c>
      <c r="H65" s="232">
        <f>Lista!AW24</f>
        <v>0</v>
      </c>
    </row>
    <row r="66" spans="2:11" x14ac:dyDescent="0.25">
      <c r="B66" s="71" t="str">
        <f t="shared" si="6"/>
        <v>Sal</v>
      </c>
      <c r="C66" s="72">
        <f>Lista!AH25</f>
        <v>1</v>
      </c>
      <c r="D66" s="73">
        <f t="shared" si="7"/>
        <v>0</v>
      </c>
      <c r="E66" s="195">
        <f>Lista!AM25</f>
        <v>0</v>
      </c>
      <c r="F66" s="69">
        <f>Lista!AR10</f>
        <v>0.5</v>
      </c>
      <c r="G66" s="70">
        <f t="shared" si="8"/>
        <v>0</v>
      </c>
      <c r="H66" s="232">
        <f>Lista!AW25</f>
        <v>0</v>
      </c>
    </row>
    <row r="67" spans="2:11" x14ac:dyDescent="0.25">
      <c r="B67" s="71" t="str">
        <f t="shared" si="6"/>
        <v>Sabão</v>
      </c>
      <c r="C67" s="72">
        <f>Lista!AH26</f>
        <v>2</v>
      </c>
      <c r="D67" s="73">
        <f t="shared" si="7"/>
        <v>0</v>
      </c>
      <c r="E67" s="195">
        <f>Lista!AM26</f>
        <v>0</v>
      </c>
      <c r="F67" s="69">
        <f>Lista!AR11</f>
        <v>1</v>
      </c>
      <c r="G67" s="70">
        <f t="shared" si="8"/>
        <v>0</v>
      </c>
      <c r="H67" s="232">
        <f>Lista!AW26</f>
        <v>0</v>
      </c>
    </row>
    <row r="68" spans="2:11" x14ac:dyDescent="0.25"/>
    <row r="69" spans="2:11" x14ac:dyDescent="0.25">
      <c r="B69" s="312" t="s">
        <v>60</v>
      </c>
      <c r="C69" s="312"/>
      <c r="D69" s="312"/>
      <c r="E69" s="313"/>
      <c r="F69" s="317" t="s">
        <v>61</v>
      </c>
      <c r="G69" s="317"/>
      <c r="H69" s="317"/>
      <c r="I69" s="317"/>
      <c r="J69" s="317"/>
      <c r="K69" s="317"/>
    </row>
    <row r="70" spans="2:11" x14ac:dyDescent="0.25">
      <c r="B70" s="61" t="s">
        <v>73</v>
      </c>
      <c r="C70" s="61" t="s">
        <v>81</v>
      </c>
      <c r="D70" s="61" t="s">
        <v>82</v>
      </c>
      <c r="E70" s="233" t="s">
        <v>83</v>
      </c>
      <c r="F70" s="334" t="s">
        <v>73</v>
      </c>
      <c r="G70" s="334"/>
      <c r="H70" s="235" t="s">
        <v>81</v>
      </c>
      <c r="I70" s="236" t="s">
        <v>84</v>
      </c>
      <c r="J70" s="334" t="s">
        <v>83</v>
      </c>
      <c r="K70" s="334"/>
    </row>
    <row r="71" spans="2:11" x14ac:dyDescent="0.25">
      <c r="B71" s="74" t="str">
        <f>B25</f>
        <v>Arroz</v>
      </c>
      <c r="C71" s="75">
        <f>Lista!BB18</f>
        <v>5</v>
      </c>
      <c r="D71" s="76">
        <f>$C$14</f>
        <v>0</v>
      </c>
      <c r="E71" s="234">
        <f>Lista!BG18</f>
        <v>0</v>
      </c>
      <c r="F71" s="335" t="s">
        <v>62</v>
      </c>
      <c r="G71" s="335"/>
      <c r="H71" s="77">
        <f>Lista!N52</f>
        <v>1</v>
      </c>
      <c r="I71" s="77">
        <f>F13</f>
        <v>0</v>
      </c>
      <c r="J71" s="306">
        <f>Lista!S52</f>
        <v>0</v>
      </c>
      <c r="K71" s="306"/>
    </row>
    <row r="72" spans="2:11" x14ac:dyDescent="0.25">
      <c r="B72" s="74" t="str">
        <f t="shared" ref="B72:B79" si="9">B26</f>
        <v>Feijão</v>
      </c>
      <c r="C72" s="75">
        <f>Lista!BB19</f>
        <v>2</v>
      </c>
      <c r="D72" s="76">
        <f t="shared" ref="D72:D79" si="10">$C$14</f>
        <v>0</v>
      </c>
      <c r="E72" s="234">
        <f>Lista!BG19</f>
        <v>0</v>
      </c>
      <c r="F72" s="335" t="s">
        <v>44</v>
      </c>
      <c r="G72" s="335"/>
      <c r="H72" s="77">
        <f>Lista!N53</f>
        <v>1</v>
      </c>
      <c r="I72" s="77">
        <f>G13</f>
        <v>0</v>
      </c>
      <c r="J72" s="306">
        <f>Lista!S53</f>
        <v>0</v>
      </c>
      <c r="K72" s="306"/>
    </row>
    <row r="73" spans="2:11" x14ac:dyDescent="0.25">
      <c r="B73" s="74" t="str">
        <f t="shared" si="9"/>
        <v>Fubá</v>
      </c>
      <c r="C73" s="75">
        <f>Lista!BB20</f>
        <v>1</v>
      </c>
      <c r="D73" s="76">
        <f t="shared" si="10"/>
        <v>0</v>
      </c>
      <c r="E73" s="234">
        <f>Lista!BG20</f>
        <v>0</v>
      </c>
      <c r="F73" s="335" t="s">
        <v>45</v>
      </c>
      <c r="G73" s="335"/>
      <c r="H73" s="77">
        <f>Lista!N54</f>
        <v>1</v>
      </c>
      <c r="I73" s="77">
        <f>H13</f>
        <v>0</v>
      </c>
      <c r="J73" s="306">
        <f>Lista!S54</f>
        <v>0</v>
      </c>
      <c r="K73" s="306"/>
    </row>
    <row r="74" spans="2:11" x14ac:dyDescent="0.25">
      <c r="B74" s="74" t="str">
        <f t="shared" si="9"/>
        <v>Açúcar</v>
      </c>
      <c r="C74" s="75">
        <f>Lista!BB21</f>
        <v>1.5</v>
      </c>
      <c r="D74" s="76">
        <f t="shared" si="10"/>
        <v>0</v>
      </c>
      <c r="E74" s="234">
        <f>Lista!BG21</f>
        <v>0</v>
      </c>
      <c r="F74" s="335" t="s">
        <v>46</v>
      </c>
      <c r="G74" s="335"/>
      <c r="H74" s="77">
        <f>Lista!N55</f>
        <v>1</v>
      </c>
      <c r="I74" s="77">
        <f>I13</f>
        <v>0</v>
      </c>
      <c r="J74" s="306">
        <f>Lista!S55</f>
        <v>0</v>
      </c>
      <c r="K74" s="306"/>
    </row>
    <row r="75" spans="2:11" x14ac:dyDescent="0.25">
      <c r="B75" s="74" t="str">
        <f t="shared" si="9"/>
        <v>Espaguete</v>
      </c>
      <c r="C75" s="75">
        <f>Lista!BB22</f>
        <v>2</v>
      </c>
      <c r="D75" s="76">
        <f t="shared" si="10"/>
        <v>0</v>
      </c>
      <c r="E75" s="234">
        <f>Lista!BG22</f>
        <v>0</v>
      </c>
      <c r="F75" s="335" t="s">
        <v>47</v>
      </c>
      <c r="G75" s="335"/>
      <c r="H75" s="77">
        <f>Lista!N56</f>
        <v>1</v>
      </c>
      <c r="I75" s="77">
        <f>F16</f>
        <v>0</v>
      </c>
      <c r="J75" s="306">
        <f>Lista!S56</f>
        <v>0</v>
      </c>
      <c r="K75" s="306"/>
    </row>
    <row r="76" spans="2:11" x14ac:dyDescent="0.25">
      <c r="B76" s="74" t="str">
        <f t="shared" si="9"/>
        <v>Café</v>
      </c>
      <c r="C76" s="75">
        <f>Lista!BB23</f>
        <v>0.25</v>
      </c>
      <c r="D76" s="76">
        <f t="shared" si="10"/>
        <v>0</v>
      </c>
      <c r="E76" s="234">
        <f>Lista!BG23</f>
        <v>0</v>
      </c>
      <c r="F76" s="335" t="s">
        <v>48</v>
      </c>
      <c r="G76" s="335"/>
      <c r="H76" s="77">
        <f>Lista!N57</f>
        <v>1</v>
      </c>
      <c r="I76" s="77">
        <f>G16</f>
        <v>0</v>
      </c>
      <c r="J76" s="306">
        <f>Lista!S57</f>
        <v>0</v>
      </c>
      <c r="K76" s="306"/>
    </row>
    <row r="77" spans="2:11" x14ac:dyDescent="0.25">
      <c r="B77" s="74" t="str">
        <f t="shared" si="9"/>
        <v>Óleo</v>
      </c>
      <c r="C77" s="75">
        <f>Lista!BB24</f>
        <v>0</v>
      </c>
      <c r="D77" s="76">
        <f t="shared" si="10"/>
        <v>0</v>
      </c>
      <c r="E77" s="234">
        <f>Lista!BG24</f>
        <v>0</v>
      </c>
      <c r="F77" s="335" t="s">
        <v>49</v>
      </c>
      <c r="G77" s="335"/>
      <c r="H77" s="77">
        <f>Lista!N58</f>
        <v>1</v>
      </c>
      <c r="I77" s="77">
        <f>H16</f>
        <v>0</v>
      </c>
      <c r="J77" s="306">
        <f>Lista!S58</f>
        <v>0</v>
      </c>
      <c r="K77" s="306"/>
    </row>
    <row r="78" spans="2:11" x14ac:dyDescent="0.25">
      <c r="B78" s="74" t="str">
        <f t="shared" si="9"/>
        <v>Sal</v>
      </c>
      <c r="C78" s="75">
        <f>Lista!BB25</f>
        <v>0.5</v>
      </c>
      <c r="D78" s="76">
        <f t="shared" si="10"/>
        <v>0</v>
      </c>
      <c r="E78" s="234">
        <f>Lista!BG25</f>
        <v>0</v>
      </c>
      <c r="F78" s="335" t="s">
        <v>50</v>
      </c>
      <c r="G78" s="335"/>
      <c r="H78" s="77">
        <f>Lista!N59</f>
        <v>1</v>
      </c>
      <c r="I78" s="77">
        <f>I16</f>
        <v>0</v>
      </c>
      <c r="J78" s="306">
        <f>Lista!S59</f>
        <v>0</v>
      </c>
      <c r="K78" s="306"/>
    </row>
    <row r="79" spans="2:11" x14ac:dyDescent="0.25">
      <c r="B79" s="74" t="str">
        <f t="shared" si="9"/>
        <v>Sabão</v>
      </c>
      <c r="C79" s="75">
        <f>Lista!BB26</f>
        <v>1</v>
      </c>
      <c r="D79" s="76">
        <f t="shared" si="10"/>
        <v>0</v>
      </c>
      <c r="E79" s="76">
        <f>Lista!BG26</f>
        <v>0</v>
      </c>
    </row>
    <row r="80" spans="2:11" x14ac:dyDescent="0.25"/>
    <row r="81" spans="2:5" x14ac:dyDescent="0.25">
      <c r="B81" s="318" t="s">
        <v>42</v>
      </c>
      <c r="C81" s="318"/>
      <c r="D81" s="318"/>
      <c r="E81" s="318"/>
    </row>
    <row r="82" spans="2:5" x14ac:dyDescent="0.25">
      <c r="B82" s="78" t="s">
        <v>73</v>
      </c>
      <c r="C82" s="78" t="s">
        <v>81</v>
      </c>
      <c r="D82" s="78" t="s">
        <v>82</v>
      </c>
      <c r="E82" s="79" t="s">
        <v>83</v>
      </c>
    </row>
    <row r="83" spans="2:5" x14ac:dyDescent="0.25">
      <c r="B83" s="80" t="s">
        <v>42</v>
      </c>
      <c r="C83" s="81">
        <f>Lista!N31</f>
        <v>1</v>
      </c>
      <c r="D83" s="82">
        <f>$D$14</f>
        <v>0</v>
      </c>
      <c r="E83" s="83">
        <f>Lista!R31</f>
        <v>0</v>
      </c>
    </row>
    <row r="84" spans="2:5" x14ac:dyDescent="0.25"/>
  </sheetData>
  <sheetProtection algorithmName="SHA-512" hashValue="RCnxDo5PgRAwx2x7IRJO7yZK1HJowQ6gOj5UPh93bhW7OUtWbWXgo9iTE+HTtbnFCnatc+hYHfJvGVHjGabG4Q==" saltValue="s9/tikP4THbhKUr+4o+0RA==" spinCount="100000" sheet="1" objects="1" scenarios="1" selectLockedCells="1"/>
  <mergeCells count="38">
    <mergeCell ref="B81:E81"/>
    <mergeCell ref="B23:H23"/>
    <mergeCell ref="J24:L25"/>
    <mergeCell ref="J26:L28"/>
    <mergeCell ref="B45:E45"/>
    <mergeCell ref="F45:H45"/>
    <mergeCell ref="F70:G70"/>
    <mergeCell ref="F71:G71"/>
    <mergeCell ref="F72:G72"/>
    <mergeCell ref="F73:G73"/>
    <mergeCell ref="F74:G74"/>
    <mergeCell ref="F75:G75"/>
    <mergeCell ref="F76:G76"/>
    <mergeCell ref="F77:G77"/>
    <mergeCell ref="F78:G78"/>
    <mergeCell ref="J70:K70"/>
    <mergeCell ref="B10:D10"/>
    <mergeCell ref="B57:E57"/>
    <mergeCell ref="F57:H57"/>
    <mergeCell ref="B69:E69"/>
    <mergeCell ref="F11:F12"/>
    <mergeCell ref="G11:G12"/>
    <mergeCell ref="H11:H12"/>
    <mergeCell ref="F10:I10"/>
    <mergeCell ref="F69:K69"/>
    <mergeCell ref="I11:I12"/>
    <mergeCell ref="F14:F15"/>
    <mergeCell ref="G14:G15"/>
    <mergeCell ref="H14:H15"/>
    <mergeCell ref="I14:I15"/>
    <mergeCell ref="J76:K76"/>
    <mergeCell ref="J77:K77"/>
    <mergeCell ref="J78:K78"/>
    <mergeCell ref="J71:K71"/>
    <mergeCell ref="J72:K72"/>
    <mergeCell ref="J73:K73"/>
    <mergeCell ref="J74:K74"/>
    <mergeCell ref="J75:K75"/>
  </mergeCells>
  <conditionalFormatting sqref="F13:I13 F16:I16">
    <cfRule type="cellIs" dxfId="48" priority="8" operator="equal">
      <formula>0</formula>
    </cfRule>
  </conditionalFormatting>
  <conditionalFormatting sqref="L14">
    <cfRule type="cellIs" dxfId="47" priority="6" operator="equal">
      <formula>0</formula>
    </cfRule>
  </conditionalFormatting>
  <conditionalFormatting sqref="E25:E33 H25:H42 E26:F42">
    <cfRule type="cellIs" dxfId="46" priority="5" operator="lessThan">
      <formula>0</formula>
    </cfRule>
  </conditionalFormatting>
  <conditionalFormatting sqref="F25:F42">
    <cfRule type="cellIs" dxfId="45" priority="4" operator="lessThan">
      <formula>0</formula>
    </cfRule>
  </conditionalFormatting>
  <conditionalFormatting sqref="F25:F42">
    <cfRule type="cellIs" dxfId="44" priority="3" operator="equal">
      <formula>"COMPRAR"</formula>
    </cfRule>
  </conditionalFormatting>
  <conditionalFormatting sqref="F42">
    <cfRule type="cellIs" dxfId="43" priority="1" operator="equal">
      <formula>"AGUARDANDO DOAÇÃO"</formula>
    </cfRule>
  </conditionalFormatting>
  <dataValidations count="2">
    <dataValidation type="list" allowBlank="1" showInputMessage="1" showErrorMessage="1" sqref="L8">
      <formula1>"Saída Estoque,Doação Saída,Permuta Saída,Perda"</formula1>
    </dataValidation>
    <dataValidation type="list" allowBlank="1" showInputMessage="1" showErrorMessage="1" sqref="L12">
      <formula1>"Adminstrador,Coordenador,Atendente"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E9"/>
  <sheetViews>
    <sheetView showGridLines="0" showRowColHeaders="0" zoomScale="96" zoomScaleNormal="96" workbookViewId="0">
      <pane ySplit="8" topLeftCell="A9" activePane="bottomLeft" state="frozen"/>
      <selection activeCell="H26" sqref="H26"/>
      <selection pane="bottomLeft" activeCell="K2" sqref="K2"/>
    </sheetView>
  </sheetViews>
  <sheetFormatPr defaultRowHeight="15" x14ac:dyDescent="0.25"/>
  <cols>
    <col min="1" max="1" width="2.85546875" customWidth="1"/>
    <col min="2" max="2" width="10.7109375" bestFit="1" customWidth="1"/>
    <col min="3" max="3" width="10.7109375" customWidth="1"/>
    <col min="4" max="4" width="12.85546875" customWidth="1"/>
    <col min="5" max="5" width="13.28515625" style="141" bestFit="1" customWidth="1"/>
    <col min="6" max="6" width="11.28515625" customWidth="1"/>
    <col min="7" max="8" width="10" customWidth="1"/>
    <col min="9" max="11" width="13" customWidth="1"/>
    <col min="12" max="12" width="13.5703125" bestFit="1" customWidth="1"/>
    <col min="13" max="13" width="13.7109375" customWidth="1"/>
    <col min="14" max="20" width="10.140625" customWidth="1"/>
    <col min="21" max="22" width="10.7109375" customWidth="1"/>
    <col min="23" max="23" width="20.28515625" bestFit="1" customWidth="1"/>
    <col min="24" max="24" width="27.42578125" bestFit="1" customWidth="1"/>
    <col min="25" max="28" width="16.85546875" bestFit="1" customWidth="1"/>
    <col min="29" max="29" width="26.7109375" bestFit="1" customWidth="1"/>
    <col min="30" max="30" width="11" customWidth="1"/>
    <col min="31" max="31" width="29" customWidth="1"/>
  </cols>
  <sheetData>
    <row r="1" spans="1:31" s="14" customFormat="1" ht="15.75" customHeight="1" x14ac:dyDescent="0.25">
      <c r="E1" s="30"/>
    </row>
    <row r="2" spans="1:31" s="14" customFormat="1" x14ac:dyDescent="0.25">
      <c r="E2" s="30"/>
    </row>
    <row r="3" spans="1:31" s="15" customFormat="1" ht="9.75" customHeight="1" x14ac:dyDescent="0.25">
      <c r="E3" s="31"/>
    </row>
    <row r="4" spans="1:31" ht="9.75" customHeight="1" x14ac:dyDescent="0.25">
      <c r="A4" s="23"/>
      <c r="B4" s="23"/>
      <c r="C4" s="23"/>
      <c r="D4" s="23"/>
      <c r="E4" s="32"/>
      <c r="F4" s="23"/>
      <c r="G4" s="23"/>
      <c r="H4" s="23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</row>
    <row r="5" spans="1:31" x14ac:dyDescent="0.25">
      <c r="A5" s="23"/>
      <c r="B5" s="23"/>
      <c r="C5" s="23"/>
      <c r="D5" s="23"/>
      <c r="E5" s="32"/>
      <c r="F5" s="23"/>
      <c r="G5" s="23"/>
      <c r="H5" s="23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</row>
    <row r="6" spans="1:31" x14ac:dyDescent="0.25">
      <c r="AE6" s="277"/>
    </row>
    <row r="7" spans="1:31" ht="7.5" customHeight="1" x14ac:dyDescent="0.25">
      <c r="B7" s="138"/>
      <c r="C7" s="138"/>
      <c r="D7" s="138"/>
      <c r="E7" s="14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77"/>
    </row>
    <row r="8" spans="1:31" x14ac:dyDescent="0.25">
      <c r="B8" s="142" t="s">
        <v>12</v>
      </c>
      <c r="C8" s="142" t="s">
        <v>141</v>
      </c>
      <c r="D8" s="146" t="s">
        <v>140</v>
      </c>
      <c r="E8" s="145" t="s">
        <v>20</v>
      </c>
      <c r="F8" s="258" t="s">
        <v>18</v>
      </c>
      <c r="G8" s="142" t="s">
        <v>139</v>
      </c>
      <c r="H8" s="142" t="s">
        <v>138</v>
      </c>
      <c r="I8" s="142" t="s">
        <v>137</v>
      </c>
      <c r="J8" s="142" t="s">
        <v>136</v>
      </c>
      <c r="K8" s="142" t="s">
        <v>135</v>
      </c>
      <c r="L8" s="142" t="s">
        <v>134</v>
      </c>
      <c r="M8" s="142" t="s">
        <v>133</v>
      </c>
      <c r="N8" s="142" t="s">
        <v>31</v>
      </c>
      <c r="O8" s="142" t="s">
        <v>33</v>
      </c>
      <c r="P8" s="142" t="s">
        <v>34</v>
      </c>
      <c r="Q8" s="142" t="s">
        <v>35</v>
      </c>
      <c r="R8" s="142" t="s">
        <v>36</v>
      </c>
      <c r="S8" s="142" t="s">
        <v>37</v>
      </c>
      <c r="T8" s="142" t="s">
        <v>38</v>
      </c>
      <c r="U8" s="142" t="s">
        <v>40</v>
      </c>
      <c r="V8" s="142" t="s">
        <v>41</v>
      </c>
      <c r="W8" s="142" t="s">
        <v>62</v>
      </c>
      <c r="X8" s="142" t="s">
        <v>44</v>
      </c>
      <c r="Y8" s="142" t="s">
        <v>45</v>
      </c>
      <c r="Z8" s="142" t="s">
        <v>46</v>
      </c>
      <c r="AA8" s="142" t="s">
        <v>47</v>
      </c>
      <c r="AB8" s="142" t="s">
        <v>48</v>
      </c>
      <c r="AC8" s="142" t="s">
        <v>49</v>
      </c>
      <c r="AD8" s="142" t="s">
        <v>50</v>
      </c>
      <c r="AE8" s="278" t="s">
        <v>208</v>
      </c>
    </row>
    <row r="9" spans="1:31" x14ac:dyDescent="0.25">
      <c r="B9" s="142"/>
      <c r="C9" s="142"/>
      <c r="D9" s="144"/>
      <c r="E9" s="143"/>
      <c r="F9" s="258" t="b">
        <f>IF(Tabela25[[#This Row],[Conversão Para baixar no estoque]]="Saída Estoque","Entrada",IF(Tabela25[[#This Row],[Conversão Para baixar no estoque]]="Saída","Saída"))</f>
        <v>0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C6"/>
  <sheetViews>
    <sheetView showGridLines="0" showRowColHeaders="0" zoomScale="130" zoomScaleNormal="130" workbookViewId="0"/>
  </sheetViews>
  <sheetFormatPr defaultColWidth="0" defaultRowHeight="15" zeroHeight="1" x14ac:dyDescent="0.25"/>
  <cols>
    <col min="1" max="13" width="9.140625" customWidth="1"/>
    <col min="14" max="14" width="3" customWidth="1"/>
    <col min="15" max="29" width="0" hidden="1" customWidth="1"/>
    <col min="30" max="16384" width="9.140625" hidden="1"/>
  </cols>
  <sheetData>
    <row r="1" spans="1:29" s="14" customFormat="1" ht="15.75" customHeight="1" x14ac:dyDescent="0.25">
      <c r="E1" s="30"/>
    </row>
    <row r="2" spans="1:29" s="14" customFormat="1" x14ac:dyDescent="0.25">
      <c r="E2" s="30"/>
    </row>
    <row r="3" spans="1:29" s="15" customFormat="1" ht="9.75" customHeight="1" x14ac:dyDescent="0.25">
      <c r="E3" s="31"/>
    </row>
    <row r="4" spans="1:29" ht="9.75" customHeight="1" x14ac:dyDescent="0.25">
      <c r="A4" s="23"/>
      <c r="B4" s="23"/>
      <c r="C4" s="23"/>
      <c r="D4" s="23"/>
      <c r="E4" s="32"/>
      <c r="F4" s="23"/>
      <c r="G4" s="23"/>
      <c r="H4" s="23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5">
      <c r="A5" s="23"/>
      <c r="B5" s="23"/>
      <c r="C5" s="23"/>
      <c r="D5" s="23"/>
      <c r="E5" s="32"/>
      <c r="F5" s="23"/>
      <c r="G5" s="23"/>
      <c r="H5" s="23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>
    <pageSetUpPr autoPageBreaks="0"/>
  </sheetPr>
  <dimension ref="A1:AB51"/>
  <sheetViews>
    <sheetView showGridLines="0" showRowColHeaders="0" zoomScale="85" zoomScaleNormal="85" workbookViewId="0">
      <pane ySplit="6" topLeftCell="A7" activePane="bottomLeft" state="frozen"/>
      <selection activeCell="H26" sqref="H26"/>
      <selection pane="bottomLeft" activeCell="Q32" sqref="Q32:R32"/>
    </sheetView>
  </sheetViews>
  <sheetFormatPr defaultColWidth="0" defaultRowHeight="15" zeroHeight="1" x14ac:dyDescent="0.25"/>
  <cols>
    <col min="1" max="1" width="2" customWidth="1"/>
    <col min="2" max="2" width="10.42578125" customWidth="1"/>
    <col min="3" max="3" width="10.28515625" customWidth="1"/>
    <col min="4" max="4" width="1.85546875" customWidth="1"/>
    <col min="5" max="5" width="9.28515625" customWidth="1"/>
    <col min="6" max="6" width="11.42578125" customWidth="1"/>
    <col min="7" max="7" width="10.42578125" customWidth="1"/>
    <col min="8" max="8" width="9.140625" customWidth="1"/>
    <col min="9" max="9" width="2.140625" customWidth="1"/>
    <col min="10" max="10" width="11.5703125" customWidth="1"/>
    <col min="11" max="11" width="11.140625" customWidth="1"/>
    <col min="12" max="12" width="9.140625" customWidth="1"/>
    <col min="13" max="13" width="8.7109375" customWidth="1"/>
    <col min="14" max="14" width="1.7109375" customWidth="1"/>
    <col min="15" max="15" width="10.140625" bestFit="1" customWidth="1"/>
    <col min="16" max="16" width="11.42578125" customWidth="1"/>
    <col min="17" max="18" width="9.140625" customWidth="1"/>
    <col min="19" max="19" width="1.7109375" customWidth="1"/>
    <col min="20" max="20" width="10" customWidth="1"/>
    <col min="21" max="21" width="10.42578125" customWidth="1"/>
    <col min="22" max="22" width="10.140625" customWidth="1"/>
    <col min="23" max="23" width="8.7109375" customWidth="1"/>
    <col min="24" max="24" width="1.7109375" customWidth="1"/>
    <col min="25" max="25" width="8.7109375" customWidth="1"/>
    <col min="26" max="26" width="10.140625" customWidth="1"/>
    <col min="27" max="27" width="2.28515625" customWidth="1"/>
    <col min="28" max="28" width="0" hidden="1" customWidth="1"/>
    <col min="29" max="16384" width="8.7109375" hidden="1"/>
  </cols>
  <sheetData>
    <row r="1" spans="1:28" s="14" customFormat="1" ht="15.75" customHeight="1" x14ac:dyDescent="0.25">
      <c r="D1" s="30"/>
    </row>
    <row r="2" spans="1:28" s="14" customFormat="1" x14ac:dyDescent="0.25">
      <c r="D2" s="30"/>
    </row>
    <row r="3" spans="1:28" s="15" customFormat="1" ht="9.75" customHeight="1" x14ac:dyDescent="0.25">
      <c r="D3" s="31"/>
    </row>
    <row r="4" spans="1:28" ht="9.75" customHeight="1" x14ac:dyDescent="0.25">
      <c r="A4" s="23"/>
      <c r="B4" s="23"/>
      <c r="C4" s="23"/>
      <c r="D4" s="32"/>
      <c r="E4" s="23"/>
      <c r="F4" s="23"/>
      <c r="G4" s="23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</row>
    <row r="5" spans="1:28" x14ac:dyDescent="0.25">
      <c r="A5" s="23"/>
      <c r="B5" s="23"/>
      <c r="C5" s="23"/>
      <c r="D5" s="32"/>
      <c r="E5" s="23"/>
      <c r="F5" s="23"/>
      <c r="G5" s="23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</row>
    <row r="6" spans="1:28" ht="7.5" customHeight="1" x14ac:dyDescent="0.25"/>
    <row r="7" spans="1:28" ht="27" customHeight="1" x14ac:dyDescent="0.25">
      <c r="B7" s="178"/>
      <c r="C7" s="178"/>
      <c r="D7" s="177"/>
      <c r="E7" s="182" t="s">
        <v>151</v>
      </c>
      <c r="F7" s="182" t="s">
        <v>152</v>
      </c>
      <c r="G7" s="159"/>
      <c r="H7" s="159"/>
      <c r="I7" s="171"/>
      <c r="J7" s="181" t="s">
        <v>151</v>
      </c>
      <c r="K7" s="181" t="s">
        <v>152</v>
      </c>
      <c r="L7" s="176"/>
      <c r="M7" s="176"/>
      <c r="N7" s="168"/>
      <c r="O7" s="180" t="s">
        <v>151</v>
      </c>
      <c r="P7" s="180" t="s">
        <v>150</v>
      </c>
      <c r="Q7" s="345" t="s">
        <v>160</v>
      </c>
      <c r="R7" s="346"/>
      <c r="S7" s="211"/>
      <c r="T7" s="212" t="s">
        <v>151</v>
      </c>
      <c r="U7" s="212" t="s">
        <v>150</v>
      </c>
      <c r="V7" s="347" t="s">
        <v>160</v>
      </c>
      <c r="W7" s="348"/>
      <c r="X7" s="216"/>
      <c r="Y7" s="217" t="s">
        <v>151</v>
      </c>
      <c r="Z7" s="217" t="s">
        <v>150</v>
      </c>
    </row>
    <row r="8" spans="1:28" x14ac:dyDescent="0.25">
      <c r="B8" s="372" t="s">
        <v>149</v>
      </c>
      <c r="C8" s="372"/>
      <c r="D8" s="179"/>
      <c r="E8" s="173" t="str">
        <f>Lista!M18</f>
        <v>Arroz</v>
      </c>
      <c r="F8" s="172">
        <f>Lista!S3</f>
        <v>37.5</v>
      </c>
      <c r="G8" s="373" t="s">
        <v>149</v>
      </c>
      <c r="H8" s="373"/>
      <c r="I8" s="171"/>
      <c r="J8" s="170" t="str">
        <f>Lista!W18</f>
        <v>Arroz</v>
      </c>
      <c r="K8" s="169">
        <f>Lista!AC3</f>
        <v>50</v>
      </c>
      <c r="L8" s="374" t="s">
        <v>149</v>
      </c>
      <c r="M8" s="374"/>
      <c r="N8" s="168"/>
      <c r="O8" s="167" t="str">
        <f>Lista!AG18</f>
        <v>Arroz</v>
      </c>
      <c r="P8" s="166">
        <f>Lista!AM3</f>
        <v>37.5</v>
      </c>
      <c r="Q8" s="385" t="s">
        <v>149</v>
      </c>
      <c r="R8" s="385"/>
      <c r="S8" s="211"/>
      <c r="T8" s="213" t="str">
        <f>Lista!AQ3</f>
        <v>Arroz</v>
      </c>
      <c r="U8" s="214">
        <f>Lista!AW3</f>
        <v>37.5</v>
      </c>
      <c r="V8" s="386" t="s">
        <v>149</v>
      </c>
      <c r="W8" s="386"/>
      <c r="X8" s="216"/>
      <c r="Y8" s="218" t="str">
        <f>Lista!BA3</f>
        <v>Arroz</v>
      </c>
      <c r="Z8" s="219">
        <f>Lista!BG3</f>
        <v>0</v>
      </c>
    </row>
    <row r="9" spans="1:28" ht="15.75" x14ac:dyDescent="0.25">
      <c r="B9" s="375" t="s">
        <v>56</v>
      </c>
      <c r="C9" s="375"/>
      <c r="D9" s="179"/>
      <c r="E9" s="173" t="str">
        <f>Lista!M19</f>
        <v>Feijão</v>
      </c>
      <c r="F9" s="172">
        <f>Lista!S4</f>
        <v>15</v>
      </c>
      <c r="G9" s="376" t="s">
        <v>57</v>
      </c>
      <c r="H9" s="377"/>
      <c r="I9" s="171"/>
      <c r="J9" s="170" t="str">
        <f>Lista!W19</f>
        <v>Feijão</v>
      </c>
      <c r="K9" s="169">
        <f>Lista!AC4</f>
        <v>20</v>
      </c>
      <c r="L9" s="378" t="s">
        <v>58</v>
      </c>
      <c r="M9" s="378"/>
      <c r="N9" s="168"/>
      <c r="O9" s="167" t="str">
        <f>Lista!AG19</f>
        <v>Feijão</v>
      </c>
      <c r="P9" s="166">
        <f>Lista!AM4</f>
        <v>15</v>
      </c>
      <c r="Q9" s="387" t="s">
        <v>59</v>
      </c>
      <c r="R9" s="387"/>
      <c r="S9" s="211"/>
      <c r="T9" s="213" t="str">
        <f>Lista!AQ4</f>
        <v>Feijão</v>
      </c>
      <c r="U9" s="214">
        <f>Lista!AW4</f>
        <v>15</v>
      </c>
      <c r="V9" s="388" t="s">
        <v>60</v>
      </c>
      <c r="W9" s="388"/>
      <c r="X9" s="216"/>
      <c r="Y9" s="218" t="str">
        <f>Lista!BA4</f>
        <v>Feijão</v>
      </c>
      <c r="Z9" s="219">
        <f>Lista!BG4</f>
        <v>0</v>
      </c>
    </row>
    <row r="10" spans="1:28" ht="15" customHeight="1" x14ac:dyDescent="0.25">
      <c r="B10" s="178"/>
      <c r="C10" s="178"/>
      <c r="D10" s="177"/>
      <c r="E10" s="173" t="str">
        <f>Lista!M20</f>
        <v>Fubá</v>
      </c>
      <c r="F10" s="172">
        <f>Lista!S5</f>
        <v>15</v>
      </c>
      <c r="G10" s="159"/>
      <c r="H10" s="159"/>
      <c r="I10" s="171"/>
      <c r="J10" s="170" t="str">
        <f>Lista!W20</f>
        <v>Fubá</v>
      </c>
      <c r="K10" s="169">
        <f>Lista!AC5</f>
        <v>10</v>
      </c>
      <c r="L10" s="176"/>
      <c r="M10" s="176"/>
      <c r="N10" s="168"/>
      <c r="O10" s="167" t="str">
        <f>Lista!AG20</f>
        <v>Fubá</v>
      </c>
      <c r="P10" s="166">
        <f>Lista!AM5</f>
        <v>10</v>
      </c>
      <c r="Q10" s="208"/>
      <c r="R10" s="208"/>
      <c r="S10" s="211"/>
      <c r="T10" s="213" t="str">
        <f>Lista!AQ5</f>
        <v>Fubá</v>
      </c>
      <c r="U10" s="214">
        <f>Lista!AW5</f>
        <v>15</v>
      </c>
      <c r="V10" s="215"/>
      <c r="W10" s="215"/>
      <c r="X10" s="216"/>
      <c r="Y10" s="218" t="str">
        <f>Lista!BA5</f>
        <v>Fubá</v>
      </c>
      <c r="Z10" s="219">
        <f>Lista!BG5</f>
        <v>0</v>
      </c>
    </row>
    <row r="11" spans="1:28" ht="15" customHeight="1" x14ac:dyDescent="0.25">
      <c r="B11" s="353" t="s">
        <v>142</v>
      </c>
      <c r="C11" s="353"/>
      <c r="D11" s="174"/>
      <c r="E11" s="173" t="str">
        <f>Lista!M21</f>
        <v>Açúcar</v>
      </c>
      <c r="F11" s="172">
        <f>Lista!S6</f>
        <v>15</v>
      </c>
      <c r="G11" s="354" t="s">
        <v>142</v>
      </c>
      <c r="H11" s="354"/>
      <c r="I11" s="171"/>
      <c r="J11" s="170" t="str">
        <f>Lista!W21</f>
        <v>Açucar</v>
      </c>
      <c r="K11" s="169">
        <f>Lista!AC6</f>
        <v>15</v>
      </c>
      <c r="L11" s="355" t="s">
        <v>142</v>
      </c>
      <c r="M11" s="355"/>
      <c r="N11" s="168"/>
      <c r="O11" s="167" t="str">
        <f>Lista!AG21</f>
        <v>Açucar</v>
      </c>
      <c r="P11" s="166">
        <f>Lista!AM6</f>
        <v>10</v>
      </c>
      <c r="Q11" s="379" t="s">
        <v>142</v>
      </c>
      <c r="R11" s="379"/>
      <c r="S11" s="211"/>
      <c r="T11" s="213" t="str">
        <f>Lista!AQ6</f>
        <v>Açúcar</v>
      </c>
      <c r="U11" s="214">
        <f>Lista!AW6</f>
        <v>15</v>
      </c>
      <c r="V11" s="380" t="s">
        <v>142</v>
      </c>
      <c r="W11" s="380"/>
      <c r="X11" s="216"/>
      <c r="Y11" s="218" t="str">
        <f>Lista!BA6</f>
        <v>Açúcar</v>
      </c>
      <c r="Z11" s="219">
        <f>Lista!BG6</f>
        <v>0</v>
      </c>
    </row>
    <row r="12" spans="1:28" ht="15" customHeight="1" x14ac:dyDescent="0.25">
      <c r="B12" s="356">
        <v>15</v>
      </c>
      <c r="C12" s="356"/>
      <c r="D12" s="175"/>
      <c r="E12" s="173" t="str">
        <f>Lista!M22</f>
        <v>Espaguete</v>
      </c>
      <c r="F12" s="172">
        <f>Lista!S7</f>
        <v>22.5</v>
      </c>
      <c r="G12" s="357">
        <v>10</v>
      </c>
      <c r="H12" s="357"/>
      <c r="I12" s="171"/>
      <c r="J12" s="170" t="str">
        <f>Lista!W22</f>
        <v>Espaguete</v>
      </c>
      <c r="K12" s="169">
        <f>Lista!AC7</f>
        <v>20</v>
      </c>
      <c r="L12" s="358">
        <v>5</v>
      </c>
      <c r="M12" s="358"/>
      <c r="N12" s="168"/>
      <c r="O12" s="167" t="str">
        <f>Lista!AG22</f>
        <v>Espaguete</v>
      </c>
      <c r="P12" s="166">
        <f>Lista!AM7</f>
        <v>15</v>
      </c>
      <c r="Q12" s="389">
        <v>15</v>
      </c>
      <c r="R12" s="389"/>
      <c r="S12" s="211"/>
      <c r="T12" s="213" t="str">
        <f>Lista!AQ7</f>
        <v>Espaguete</v>
      </c>
      <c r="U12" s="214">
        <f>Lista!AW7</f>
        <v>22.5</v>
      </c>
      <c r="V12" s="390">
        <v>0</v>
      </c>
      <c r="W12" s="390"/>
      <c r="X12" s="216"/>
      <c r="Y12" s="218" t="str">
        <f>Lista!BA7</f>
        <v>Espaguete</v>
      </c>
      <c r="Z12" s="219">
        <f>Lista!BG7</f>
        <v>0</v>
      </c>
    </row>
    <row r="13" spans="1:28" ht="12.75" customHeight="1" x14ac:dyDescent="0.25">
      <c r="B13" s="356"/>
      <c r="C13" s="356"/>
      <c r="D13" s="175"/>
      <c r="E13" s="173" t="str">
        <f>Lista!M23</f>
        <v>Café</v>
      </c>
      <c r="F13" s="172">
        <f>Lista!S8</f>
        <v>3.75</v>
      </c>
      <c r="G13" s="357"/>
      <c r="H13" s="357"/>
      <c r="I13" s="171"/>
      <c r="J13" s="170" t="str">
        <f>Lista!W23</f>
        <v>Café</v>
      </c>
      <c r="K13" s="169">
        <f>Lista!AC8</f>
        <v>2.5</v>
      </c>
      <c r="L13" s="358"/>
      <c r="M13" s="358"/>
      <c r="N13" s="168"/>
      <c r="O13" s="167" t="str">
        <f>Lista!AG23</f>
        <v>Café</v>
      </c>
      <c r="P13" s="166">
        <f>Lista!AM8</f>
        <v>1.25</v>
      </c>
      <c r="Q13" s="389"/>
      <c r="R13" s="389"/>
      <c r="S13" s="211"/>
      <c r="T13" s="213" t="str">
        <f>Lista!AQ8</f>
        <v>Café</v>
      </c>
      <c r="U13" s="214">
        <f>Lista!AW8</f>
        <v>3.75</v>
      </c>
      <c r="V13" s="390"/>
      <c r="W13" s="390"/>
      <c r="X13" s="216"/>
      <c r="Y13" s="218" t="str">
        <f>Lista!BA8</f>
        <v>Café</v>
      </c>
      <c r="Z13" s="219">
        <f>Lista!BG8</f>
        <v>0</v>
      </c>
    </row>
    <row r="14" spans="1:28" x14ac:dyDescent="0.25">
      <c r="B14" s="353" t="s">
        <v>148</v>
      </c>
      <c r="C14" s="353"/>
      <c r="D14" s="174"/>
      <c r="E14" s="173" t="str">
        <f>Lista!M24</f>
        <v>Óleo</v>
      </c>
      <c r="F14" s="172">
        <f>Lista!S9</f>
        <v>15</v>
      </c>
      <c r="G14" s="354" t="s">
        <v>148</v>
      </c>
      <c r="H14" s="391"/>
      <c r="I14" s="159"/>
      <c r="J14" s="170" t="str">
        <f>Lista!W24</f>
        <v>Óleo</v>
      </c>
      <c r="K14" s="169">
        <f>Lista!AC9</f>
        <v>10</v>
      </c>
      <c r="L14" s="355" t="s">
        <v>148</v>
      </c>
      <c r="M14" s="355"/>
      <c r="N14" s="168"/>
      <c r="O14" s="167" t="str">
        <f>Lista!AG24</f>
        <v>Óleo</v>
      </c>
      <c r="P14" s="166">
        <f>Lista!AM9</f>
        <v>5</v>
      </c>
      <c r="Q14" s="379" t="s">
        <v>148</v>
      </c>
      <c r="R14" s="379"/>
      <c r="S14" s="211"/>
      <c r="T14" s="213" t="str">
        <f>Lista!AQ9</f>
        <v>Óleo</v>
      </c>
      <c r="U14" s="214">
        <f>Lista!AW9</f>
        <v>0</v>
      </c>
      <c r="V14" s="380" t="s">
        <v>148</v>
      </c>
      <c r="W14" s="380"/>
      <c r="X14" s="216"/>
      <c r="Y14" s="218" t="str">
        <f>Lista!BA9</f>
        <v>Óleo</v>
      </c>
      <c r="Z14" s="219">
        <f>Lista!BG9</f>
        <v>0</v>
      </c>
    </row>
    <row r="15" spans="1:28" ht="14.25" customHeight="1" x14ac:dyDescent="0.25">
      <c r="B15" s="392">
        <f>Lista!T1</f>
        <v>661.72500000000002</v>
      </c>
      <c r="C15" s="393"/>
      <c r="D15" s="201"/>
      <c r="E15" s="173" t="str">
        <f>Lista!M25</f>
        <v>Sal</v>
      </c>
      <c r="F15" s="172">
        <f>Lista!S10</f>
        <v>7.5</v>
      </c>
      <c r="G15" s="394">
        <f>Lista!AD1</f>
        <v>648.04999999999995</v>
      </c>
      <c r="H15" s="395"/>
      <c r="I15" s="159"/>
      <c r="J15" s="170" t="str">
        <f>Lista!W25</f>
        <v>Sal</v>
      </c>
      <c r="K15" s="169">
        <f>Lista!AC10</f>
        <v>5</v>
      </c>
      <c r="L15" s="396">
        <f>Lista!AN1</f>
        <v>460.27499999999998</v>
      </c>
      <c r="M15" s="397"/>
      <c r="N15" s="176"/>
      <c r="O15" s="167" t="str">
        <f>Lista!AG25</f>
        <v>Sal</v>
      </c>
      <c r="P15" s="166">
        <f>Lista!AM10</f>
        <v>5</v>
      </c>
      <c r="Q15" s="381">
        <f>Lista!AX1</f>
        <v>499.875</v>
      </c>
      <c r="R15" s="382"/>
      <c r="S15" s="208"/>
      <c r="T15" s="213" t="str">
        <f>Lista!AQ10</f>
        <v>Sal</v>
      </c>
      <c r="U15" s="214">
        <f>Lista!AW10</f>
        <v>7.5</v>
      </c>
      <c r="V15" s="383">
        <f>Lista!BH1</f>
        <v>0</v>
      </c>
      <c r="W15" s="384"/>
      <c r="X15" s="215"/>
      <c r="Y15" s="218" t="str">
        <f>Lista!BA10</f>
        <v>Sal</v>
      </c>
      <c r="Z15" s="219">
        <f>Lista!BG10</f>
        <v>0</v>
      </c>
    </row>
    <row r="16" spans="1:28" ht="15" customHeight="1" x14ac:dyDescent="0.25">
      <c r="B16" s="392"/>
      <c r="C16" s="393"/>
      <c r="D16" s="201"/>
      <c r="E16" s="173" t="str">
        <f>Lista!M26</f>
        <v>Sabão</v>
      </c>
      <c r="F16" s="172">
        <f>Lista!S11</f>
        <v>15</v>
      </c>
      <c r="G16" s="394"/>
      <c r="H16" s="395"/>
      <c r="I16" s="159"/>
      <c r="J16" s="170" t="str">
        <f>Lista!W26</f>
        <v>Sabão</v>
      </c>
      <c r="K16" s="169">
        <f>Lista!AC11</f>
        <v>10</v>
      </c>
      <c r="L16" s="396"/>
      <c r="M16" s="397"/>
      <c r="N16" s="176"/>
      <c r="O16" s="167" t="str">
        <f>Lista!AG26</f>
        <v>Sabão</v>
      </c>
      <c r="P16" s="166">
        <f>Lista!AM11</f>
        <v>10</v>
      </c>
      <c r="Q16" s="381"/>
      <c r="R16" s="382"/>
      <c r="S16" s="208"/>
      <c r="T16" s="213" t="str">
        <f>Lista!AQ11</f>
        <v>Sabão</v>
      </c>
      <c r="U16" s="214">
        <f>Lista!AW11</f>
        <v>15</v>
      </c>
      <c r="V16" s="383"/>
      <c r="W16" s="384"/>
      <c r="X16" s="215"/>
      <c r="Y16" s="218" t="str">
        <f>Lista!BA11</f>
        <v>Sabão</v>
      </c>
      <c r="Z16" s="219">
        <f>Lista!BG11</f>
        <v>0</v>
      </c>
    </row>
    <row r="17" spans="2:26" ht="15" customHeight="1" x14ac:dyDescent="0.25">
      <c r="B17" s="178"/>
      <c r="C17" s="207"/>
      <c r="D17" s="202"/>
      <c r="E17" s="173"/>
      <c r="F17" s="172"/>
      <c r="G17" s="203"/>
      <c r="H17" s="206"/>
      <c r="I17" s="203"/>
      <c r="J17" s="170"/>
      <c r="K17" s="169"/>
      <c r="L17" s="204"/>
      <c r="M17" s="205"/>
      <c r="N17" s="176"/>
      <c r="O17" s="167"/>
      <c r="P17" s="166"/>
      <c r="Q17" s="209"/>
      <c r="R17" s="210"/>
      <c r="S17" s="208"/>
      <c r="T17" s="213"/>
      <c r="U17" s="214"/>
      <c r="V17" s="220"/>
      <c r="W17" s="221"/>
      <c r="X17" s="215"/>
      <c r="Y17" s="218"/>
      <c r="Z17" s="219"/>
    </row>
    <row r="18" spans="2:26" ht="8.25" customHeight="1" x14ac:dyDescent="0.25"/>
    <row r="19" spans="2:26" ht="15" customHeight="1" x14ac:dyDescent="0.25">
      <c r="B19" s="359" t="s">
        <v>159</v>
      </c>
      <c r="C19" s="360"/>
      <c r="D19" s="360"/>
      <c r="E19" s="360"/>
      <c r="F19" s="360"/>
      <c r="G19" s="360"/>
      <c r="H19" s="360"/>
      <c r="I19" s="360"/>
      <c r="J19" s="360"/>
      <c r="K19" s="361"/>
    </row>
    <row r="20" spans="2:26" ht="15" customHeight="1" x14ac:dyDescent="0.25">
      <c r="B20" s="364" t="s">
        <v>62</v>
      </c>
      <c r="C20" s="364" t="s">
        <v>44</v>
      </c>
      <c r="D20" s="366" t="s">
        <v>63</v>
      </c>
      <c r="E20" s="367"/>
      <c r="F20" s="364" t="s">
        <v>64</v>
      </c>
      <c r="G20" s="364" t="s">
        <v>65</v>
      </c>
      <c r="H20" s="366" t="s">
        <v>158</v>
      </c>
      <c r="I20" s="367"/>
      <c r="J20" s="364" t="s">
        <v>68</v>
      </c>
      <c r="K20" s="364" t="s">
        <v>50</v>
      </c>
    </row>
    <row r="21" spans="2:26" ht="31.5" customHeight="1" x14ac:dyDescent="0.25">
      <c r="B21" s="365"/>
      <c r="C21" s="365"/>
      <c r="D21" s="368"/>
      <c r="E21" s="369"/>
      <c r="F21" s="365"/>
      <c r="G21" s="365"/>
      <c r="H21" s="368"/>
      <c r="I21" s="369"/>
      <c r="J21" s="365"/>
      <c r="K21" s="365"/>
    </row>
    <row r="22" spans="2:26" ht="31.5" customHeight="1" x14ac:dyDescent="0.25">
      <c r="B22" s="223">
        <f>B12+Q12</f>
        <v>30</v>
      </c>
      <c r="C22" s="223">
        <f>G12+L12+V12</f>
        <v>15</v>
      </c>
      <c r="D22" s="370">
        <f>B12+Q12</f>
        <v>30</v>
      </c>
      <c r="E22" s="371"/>
      <c r="F22" s="223">
        <f>G12+V12</f>
        <v>10</v>
      </c>
      <c r="G22" s="223">
        <f>L12</f>
        <v>5</v>
      </c>
      <c r="H22" s="370">
        <f>B12+L12+Q12</f>
        <v>35</v>
      </c>
      <c r="I22" s="371"/>
      <c r="J22" s="223">
        <f>G12</f>
        <v>10</v>
      </c>
      <c r="K22" s="224">
        <f>(B12+G12+L12+Q12+V12)/80</f>
        <v>0.5625</v>
      </c>
    </row>
    <row r="23" spans="2:26" ht="6.75" customHeight="1" x14ac:dyDescent="0.25"/>
    <row r="24" spans="2:26" ht="6.75" customHeight="1" x14ac:dyDescent="0.25"/>
    <row r="25" spans="2:26" ht="23.45" customHeight="1" x14ac:dyDescent="0.25">
      <c r="B25" s="362" t="s">
        <v>3</v>
      </c>
      <c r="C25" s="362"/>
      <c r="D25" s="362"/>
      <c r="E25" s="362"/>
      <c r="F25" s="363">
        <f>SUM(B15+G15+L15+Q15+V15)</f>
        <v>2269.9250000000002</v>
      </c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63"/>
      <c r="Y25" s="363"/>
      <c r="Z25" s="150"/>
    </row>
    <row r="26" spans="2:26" ht="13.5" customHeight="1" x14ac:dyDescent="0.25">
      <c r="B26" s="362"/>
      <c r="C26" s="362"/>
      <c r="D26" s="362"/>
      <c r="E26" s="362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222"/>
    </row>
    <row r="27" spans="2:26" ht="12.75" customHeight="1" x14ac:dyDescent="0.25">
      <c r="B27" s="362"/>
      <c r="C27" s="362"/>
      <c r="D27" s="362"/>
      <c r="E27" s="362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63"/>
      <c r="Y27" s="363"/>
      <c r="Z27" s="222"/>
    </row>
    <row r="28" spans="2:26" ht="14.45" customHeight="1" x14ac:dyDescent="0.25">
      <c r="B28" s="362"/>
      <c r="C28" s="362"/>
      <c r="D28" s="362"/>
      <c r="E28" s="362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150"/>
    </row>
    <row r="29" spans="2:26" x14ac:dyDescent="0.25"/>
    <row r="30" spans="2:26" x14ac:dyDescent="0.25">
      <c r="B30" s="338" t="s">
        <v>153</v>
      </c>
      <c r="C30" s="338"/>
      <c r="D30" s="338"/>
      <c r="E30" s="338"/>
      <c r="F30" s="338"/>
      <c r="G30" s="338"/>
      <c r="H30" s="338"/>
      <c r="I30" s="338"/>
    </row>
    <row r="31" spans="2:26" x14ac:dyDescent="0.25">
      <c r="B31" s="338"/>
      <c r="C31" s="338"/>
      <c r="D31" s="338"/>
      <c r="E31" s="338"/>
      <c r="F31" s="338"/>
      <c r="G31" s="338"/>
      <c r="H31" s="338"/>
      <c r="I31" s="338"/>
      <c r="K31" s="161"/>
      <c r="L31" s="199"/>
      <c r="M31" s="199"/>
      <c r="P31" s="337" t="s">
        <v>146</v>
      </c>
      <c r="Q31" s="337"/>
      <c r="R31" s="337"/>
      <c r="S31" s="337"/>
      <c r="T31" s="337"/>
    </row>
    <row r="32" spans="2:26" ht="29.1" customHeight="1" x14ac:dyDescent="0.25">
      <c r="B32" s="350" t="s">
        <v>73</v>
      </c>
      <c r="C32" s="351"/>
      <c r="D32" s="350" t="s">
        <v>74</v>
      </c>
      <c r="E32" s="351"/>
      <c r="F32" s="227" t="s">
        <v>75</v>
      </c>
      <c r="G32" s="56" t="s">
        <v>76</v>
      </c>
      <c r="H32" s="343" t="s">
        <v>77</v>
      </c>
      <c r="I32" s="344"/>
      <c r="K32" s="199" t="s">
        <v>147</v>
      </c>
      <c r="L32" s="199"/>
      <c r="M32" s="165" t="s">
        <v>145</v>
      </c>
      <c r="P32" s="162" t="s">
        <v>144</v>
      </c>
      <c r="Q32" s="339">
        <v>1000000</v>
      </c>
      <c r="R32" s="339"/>
      <c r="S32" s="138"/>
      <c r="T32" s="138"/>
    </row>
    <row r="33" spans="2:20" x14ac:dyDescent="0.25">
      <c r="B33" s="349" t="s">
        <v>31</v>
      </c>
      <c r="C33" s="349"/>
      <c r="D33" s="352">
        <f>ESTOQUE!K8</f>
        <v>0</v>
      </c>
      <c r="E33" s="352"/>
      <c r="F33" s="226">
        <f t="shared" ref="F33:F41" si="0">(F8+K8+P8+U8+Z8)</f>
        <v>162.5</v>
      </c>
      <c r="G33" s="52">
        <f>D33-F33</f>
        <v>-162.5</v>
      </c>
      <c r="H33" s="341" t="str">
        <f>IF(G33&lt;=6300,"COMPRAR","EM ESTOQUE")</f>
        <v>COMPRAR</v>
      </c>
      <c r="I33" s="342"/>
      <c r="K33" s="161"/>
      <c r="L33" s="161"/>
      <c r="M33" s="164" t="s">
        <v>56</v>
      </c>
      <c r="P33" s="138"/>
      <c r="Q33" s="138"/>
      <c r="R33" s="138"/>
      <c r="S33" s="138"/>
      <c r="T33" s="138"/>
    </row>
    <row r="34" spans="2:20" ht="15.6" customHeight="1" x14ac:dyDescent="0.25">
      <c r="B34" s="349" t="s">
        <v>33</v>
      </c>
      <c r="C34" s="349"/>
      <c r="D34" s="352">
        <f>ESTOQUE!K9</f>
        <v>0</v>
      </c>
      <c r="E34" s="352"/>
      <c r="F34" s="226">
        <f t="shared" si="0"/>
        <v>65</v>
      </c>
      <c r="G34" s="52">
        <f>D34-F34</f>
        <v>-65</v>
      </c>
      <c r="H34" s="341" t="str">
        <f>IF(G34&lt;=2500,"COMPRAR","EM ESTOQUE")</f>
        <v>COMPRAR</v>
      </c>
      <c r="I34" s="342"/>
      <c r="K34" s="200">
        <f>SUMIFS(CESTAS!J8:J1048576,CESTAS!E8:E1048576,'DASHBOARD GERAL'!M33)</f>
        <v>44.115000000000002</v>
      </c>
      <c r="L34" s="200"/>
      <c r="M34" s="200"/>
      <c r="P34" s="162" t="s">
        <v>143</v>
      </c>
      <c r="Q34" s="340">
        <f>IF(M33="Cesta 1",(Q32/K34),IF(M33="Cesta 2",(Q32/K34),IF(M33="Cesta 3",(Q32/K34))))</f>
        <v>22668.026748271561</v>
      </c>
      <c r="R34" s="340"/>
      <c r="S34" s="336" t="str">
        <f>M33</f>
        <v>Cesta 1</v>
      </c>
      <c r="T34" s="336"/>
    </row>
    <row r="35" spans="2:20" ht="15.6" customHeight="1" x14ac:dyDescent="0.25">
      <c r="B35" s="349" t="s">
        <v>34</v>
      </c>
      <c r="C35" s="349"/>
      <c r="D35" s="352">
        <f>ESTOQUE!K10</f>
        <v>0</v>
      </c>
      <c r="E35" s="352"/>
      <c r="F35" s="226">
        <f t="shared" si="0"/>
        <v>50</v>
      </c>
      <c r="G35" s="52">
        <f t="shared" ref="G35:G50" si="1">D35-F35</f>
        <v>-50</v>
      </c>
      <c r="H35" s="341" t="str">
        <f>IF(G35&lt;=1600,"COMPRAR","EM ESTOQUE")</f>
        <v>COMPRAR</v>
      </c>
      <c r="I35" s="342"/>
      <c r="K35" s="161"/>
      <c r="L35" s="163"/>
      <c r="M35" s="163"/>
      <c r="P35" s="138"/>
      <c r="Q35" s="138"/>
      <c r="R35" s="138"/>
      <c r="S35" s="138"/>
      <c r="T35" s="138"/>
    </row>
    <row r="36" spans="2:20" ht="15.6" customHeight="1" x14ac:dyDescent="0.25">
      <c r="B36" s="349" t="s">
        <v>35</v>
      </c>
      <c r="C36" s="349"/>
      <c r="D36" s="352">
        <f>ESTOQUE!K11</f>
        <v>0</v>
      </c>
      <c r="E36" s="352"/>
      <c r="F36" s="226">
        <f t="shared" si="0"/>
        <v>55</v>
      </c>
      <c r="G36" s="52">
        <f t="shared" si="1"/>
        <v>-55</v>
      </c>
      <c r="H36" s="341" t="str">
        <f>IF(G36&lt;=1900,"COMPRAR","EM ESTOQUE")</f>
        <v>COMPRAR</v>
      </c>
      <c r="I36" s="342"/>
    </row>
    <row r="37" spans="2:20" ht="15.6" customHeight="1" x14ac:dyDescent="0.25">
      <c r="B37" s="349" t="s">
        <v>36</v>
      </c>
      <c r="C37" s="349"/>
      <c r="D37" s="352">
        <f>ESTOQUE!K12</f>
        <v>0</v>
      </c>
      <c r="E37" s="352"/>
      <c r="F37" s="226">
        <f t="shared" si="0"/>
        <v>80</v>
      </c>
      <c r="G37" s="52">
        <f t="shared" si="1"/>
        <v>-80</v>
      </c>
      <c r="H37" s="341" t="str">
        <f>IF(G37&lt;=2700,"COMPRAR","EM ESTOQUE")</f>
        <v>COMPRAR</v>
      </c>
      <c r="I37" s="342"/>
    </row>
    <row r="38" spans="2:20" ht="15.6" customHeight="1" x14ac:dyDescent="0.25">
      <c r="B38" s="349" t="s">
        <v>37</v>
      </c>
      <c r="C38" s="349"/>
      <c r="D38" s="352">
        <f>ESTOQUE!K13</f>
        <v>0</v>
      </c>
      <c r="E38" s="352"/>
      <c r="F38" s="226">
        <f t="shared" si="0"/>
        <v>11.25</v>
      </c>
      <c r="G38" s="52">
        <f t="shared" si="1"/>
        <v>-11.25</v>
      </c>
      <c r="H38" s="341" t="str">
        <f>IF(G38&lt;=330,"COMPRAR","EM ESTOQUE")</f>
        <v>COMPRAR</v>
      </c>
      <c r="I38" s="342"/>
    </row>
    <row r="39" spans="2:20" ht="15.6" customHeight="1" x14ac:dyDescent="0.25">
      <c r="B39" s="349" t="s">
        <v>38</v>
      </c>
      <c r="C39" s="349"/>
      <c r="D39" s="352">
        <f>ESTOQUE!K14</f>
        <v>0</v>
      </c>
      <c r="E39" s="352"/>
      <c r="F39" s="226">
        <f t="shared" si="0"/>
        <v>30</v>
      </c>
      <c r="G39" s="52">
        <f t="shared" si="1"/>
        <v>-30</v>
      </c>
      <c r="H39" s="341" t="str">
        <f>IF(G39&lt;=1340,"COMPRAR","EM ESTOQUE")</f>
        <v>COMPRAR</v>
      </c>
      <c r="I39" s="342"/>
    </row>
    <row r="40" spans="2:20" ht="15.6" customHeight="1" x14ac:dyDescent="0.25">
      <c r="B40" s="349" t="s">
        <v>40</v>
      </c>
      <c r="C40" s="349"/>
      <c r="D40" s="352">
        <f>ESTOQUE!K15</f>
        <v>0</v>
      </c>
      <c r="E40" s="352"/>
      <c r="F40" s="226">
        <f t="shared" si="0"/>
        <v>25</v>
      </c>
      <c r="G40" s="52">
        <f t="shared" si="1"/>
        <v>-25</v>
      </c>
      <c r="H40" s="341" t="str">
        <f>IF(G40&lt;=810,"COMPRAR","EM ESTOQUE")</f>
        <v>COMPRAR</v>
      </c>
      <c r="I40" s="342"/>
    </row>
    <row r="41" spans="2:20" ht="15.6" customHeight="1" x14ac:dyDescent="0.25">
      <c r="B41" s="349" t="s">
        <v>41</v>
      </c>
      <c r="C41" s="349"/>
      <c r="D41" s="352">
        <f>ESTOQUE!K16</f>
        <v>0</v>
      </c>
      <c r="E41" s="352"/>
      <c r="F41" s="226">
        <f t="shared" si="0"/>
        <v>50</v>
      </c>
      <c r="G41" s="52">
        <f t="shared" si="1"/>
        <v>-50</v>
      </c>
      <c r="H41" s="341" t="str">
        <f>IF(G41&lt;=1630,"COMPRAR","EM ESTOQUE")</f>
        <v>COMPRAR</v>
      </c>
      <c r="I41" s="342"/>
    </row>
    <row r="42" spans="2:20" ht="15.6" customHeight="1" x14ac:dyDescent="0.25">
      <c r="B42" s="349" t="s">
        <v>62</v>
      </c>
      <c r="C42" s="349"/>
      <c r="D42" s="352">
        <f>ESTOQUE!K18</f>
        <v>0</v>
      </c>
      <c r="E42" s="352"/>
      <c r="F42" s="226">
        <f>B22</f>
        <v>30</v>
      </c>
      <c r="G42" s="52">
        <f t="shared" si="1"/>
        <v>-30</v>
      </c>
      <c r="H42" s="341" t="str">
        <f>IF(G42&lt;=500,"COMPRAR","EM ESTOQUE")</f>
        <v>COMPRAR</v>
      </c>
      <c r="I42" s="342"/>
    </row>
    <row r="43" spans="2:20" ht="15.6" customHeight="1" x14ac:dyDescent="0.25">
      <c r="B43" s="349" t="s">
        <v>44</v>
      </c>
      <c r="C43" s="349"/>
      <c r="D43" s="352">
        <f>ESTOQUE!K19</f>
        <v>0</v>
      </c>
      <c r="E43" s="352"/>
      <c r="F43" s="226">
        <f>C22</f>
        <v>15</v>
      </c>
      <c r="G43" s="52">
        <f t="shared" si="1"/>
        <v>-15</v>
      </c>
      <c r="H43" s="341" t="str">
        <f>IF(G43&lt;=910,"COMPRAR","EM ESTOQUE")</f>
        <v>COMPRAR</v>
      </c>
      <c r="I43" s="342"/>
    </row>
    <row r="44" spans="2:20" ht="15.6" customHeight="1" x14ac:dyDescent="0.25">
      <c r="B44" s="349" t="s">
        <v>63</v>
      </c>
      <c r="C44" s="349"/>
      <c r="D44" s="352">
        <f>ESTOQUE!K20</f>
        <v>0</v>
      </c>
      <c r="E44" s="352"/>
      <c r="F44" s="226">
        <f>D22</f>
        <v>30</v>
      </c>
      <c r="G44" s="52">
        <f t="shared" si="1"/>
        <v>-30</v>
      </c>
      <c r="H44" s="341" t="str">
        <f>IF(G44&lt;=500,"COMPRAR","EM ESTOQUE")</f>
        <v>COMPRAR</v>
      </c>
      <c r="I44" s="342"/>
    </row>
    <row r="45" spans="2:20" ht="15.6" customHeight="1" x14ac:dyDescent="0.25">
      <c r="B45" s="349" t="s">
        <v>64</v>
      </c>
      <c r="C45" s="349"/>
      <c r="D45" s="352">
        <f>ESTOQUE!K21</f>
        <v>0</v>
      </c>
      <c r="E45" s="352"/>
      <c r="F45" s="226">
        <f>F22</f>
        <v>10</v>
      </c>
      <c r="G45" s="52">
        <f t="shared" si="1"/>
        <v>-10</v>
      </c>
      <c r="H45" s="341" t="str">
        <f>IF(G45&lt;=650,"COMPRAR","EM ESTOQUE")</f>
        <v>COMPRAR</v>
      </c>
      <c r="I45" s="342"/>
      <c r="S45" s="16"/>
    </row>
    <row r="46" spans="2:20" ht="15.6" customHeight="1" x14ac:dyDescent="0.25">
      <c r="B46" s="349" t="s">
        <v>65</v>
      </c>
      <c r="C46" s="349"/>
      <c r="D46" s="352">
        <f>ESTOQUE!K22</f>
        <v>0</v>
      </c>
      <c r="E46" s="352"/>
      <c r="F46" s="226">
        <f>G22</f>
        <v>5</v>
      </c>
      <c r="G46" s="52">
        <f t="shared" si="1"/>
        <v>-5</v>
      </c>
      <c r="H46" s="341" t="str">
        <f>IF(G46&lt;=300,"COMPRAR","EM ESTOQUE")</f>
        <v>COMPRAR</v>
      </c>
      <c r="I46" s="342"/>
    </row>
    <row r="47" spans="2:20" ht="15.6" customHeight="1" x14ac:dyDescent="0.25">
      <c r="B47" s="349" t="s">
        <v>66</v>
      </c>
      <c r="C47" s="349"/>
      <c r="D47" s="352">
        <f>ESTOQUE!K23</f>
        <v>0</v>
      </c>
      <c r="E47" s="352"/>
      <c r="F47" s="226">
        <f>H22</f>
        <v>35</v>
      </c>
      <c r="G47" s="52">
        <f t="shared" si="1"/>
        <v>-35</v>
      </c>
      <c r="H47" s="341" t="str">
        <f>IF(G47&lt;=700,"COMPRAR","EM ESTOQUE")</f>
        <v>COMPRAR</v>
      </c>
      <c r="I47" s="342"/>
    </row>
    <row r="48" spans="2:20" ht="15.6" customHeight="1" x14ac:dyDescent="0.25">
      <c r="B48" s="349" t="s">
        <v>67</v>
      </c>
      <c r="C48" s="349"/>
      <c r="D48" s="352">
        <f>ESTOQUE!K24</f>
        <v>0</v>
      </c>
      <c r="E48" s="352"/>
      <c r="F48" s="226">
        <f>J22</f>
        <v>10</v>
      </c>
      <c r="G48" s="52">
        <f t="shared" si="1"/>
        <v>-10</v>
      </c>
      <c r="H48" s="341" t="str">
        <f>IF(G48&lt;=700,"COMPRAR","EM ESTOQUE")</f>
        <v>COMPRAR</v>
      </c>
      <c r="I48" s="342"/>
    </row>
    <row r="49" spans="2:9" ht="15.6" customHeight="1" x14ac:dyDescent="0.25">
      <c r="B49" s="349" t="s">
        <v>50</v>
      </c>
      <c r="C49" s="349"/>
      <c r="D49" s="352">
        <f>ESTOQUE!K25</f>
        <v>0</v>
      </c>
      <c r="E49" s="352"/>
      <c r="F49" s="226">
        <f>K22</f>
        <v>0.5625</v>
      </c>
      <c r="G49" s="52">
        <f>D49-F49</f>
        <v>-0.5625</v>
      </c>
      <c r="H49" s="341" t="str">
        <f>IF(G49&lt;=20,"COMPRAR","EM ESTOQUE")</f>
        <v>COMPRAR</v>
      </c>
      <c r="I49" s="342"/>
    </row>
    <row r="50" spans="2:9" ht="15.6" customHeight="1" x14ac:dyDescent="0.25">
      <c r="B50" s="349" t="s">
        <v>42</v>
      </c>
      <c r="C50" s="349"/>
      <c r="D50" s="352">
        <f>ESTOQUE!K17</f>
        <v>0</v>
      </c>
      <c r="E50" s="352"/>
      <c r="F50" s="226">
        <v>0</v>
      </c>
      <c r="G50" s="52">
        <f t="shared" si="1"/>
        <v>0</v>
      </c>
      <c r="H50" s="341" t="str">
        <f>IF(G50&lt;=0,"AGUARDANDO DOAÇÃO","EM ESTOQUE")</f>
        <v>AGUARDANDO DOAÇÃO</v>
      </c>
      <c r="I50" s="342"/>
    </row>
    <row r="51" spans="2:9" x14ac:dyDescent="0.25"/>
  </sheetData>
  <sheetProtection algorithmName="SHA-512" hashValue="w4/6I5qiwHllYRb+saGBS5RHxodr18p86M9rQDp+iDvJvChJQjV5Hd2uxRMiRW2ttfhleNjNGg36NMv5wgRZOg==" saltValue="TwxwImEECf67qtxqjnIrlA==" spinCount="100000" sheet="1" selectLockedCells="1"/>
  <mergeCells count="107">
    <mergeCell ref="B8:C8"/>
    <mergeCell ref="G8:H8"/>
    <mergeCell ref="L8:M8"/>
    <mergeCell ref="B9:C9"/>
    <mergeCell ref="G9:H9"/>
    <mergeCell ref="L9:M9"/>
    <mergeCell ref="Q14:R14"/>
    <mergeCell ref="V14:W14"/>
    <mergeCell ref="Q15:R16"/>
    <mergeCell ref="V15:W16"/>
    <mergeCell ref="Q8:R8"/>
    <mergeCell ref="V8:W8"/>
    <mergeCell ref="Q9:R9"/>
    <mergeCell ref="V9:W9"/>
    <mergeCell ref="Q11:R11"/>
    <mergeCell ref="V11:W11"/>
    <mergeCell ref="Q12:R13"/>
    <mergeCell ref="V12:W13"/>
    <mergeCell ref="B14:C14"/>
    <mergeCell ref="G14:H14"/>
    <mergeCell ref="L14:M14"/>
    <mergeCell ref="B15:C16"/>
    <mergeCell ref="G15:H16"/>
    <mergeCell ref="L15:M16"/>
    <mergeCell ref="B11:C11"/>
    <mergeCell ref="G11:H11"/>
    <mergeCell ref="L11:M11"/>
    <mergeCell ref="B12:C13"/>
    <mergeCell ref="G12:H13"/>
    <mergeCell ref="L12:M13"/>
    <mergeCell ref="B19:K19"/>
    <mergeCell ref="B25:E28"/>
    <mergeCell ref="F25:Y28"/>
    <mergeCell ref="B20:B21"/>
    <mergeCell ref="C20:C21"/>
    <mergeCell ref="D20:E21"/>
    <mergeCell ref="F20:F21"/>
    <mergeCell ref="G20:G21"/>
    <mergeCell ref="H20:I21"/>
    <mergeCell ref="J20:J21"/>
    <mergeCell ref="K20:K21"/>
    <mergeCell ref="D22:E22"/>
    <mergeCell ref="H22:I22"/>
    <mergeCell ref="B32:C32"/>
    <mergeCell ref="D46:E46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Q7:R7"/>
    <mergeCell ref="V7:W7"/>
    <mergeCell ref="B46:C46"/>
    <mergeCell ref="B47:C47"/>
    <mergeCell ref="B48:C48"/>
    <mergeCell ref="B49:C49"/>
    <mergeCell ref="B50:C50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D32:E32"/>
    <mergeCell ref="D33:E33"/>
    <mergeCell ref="D34:E34"/>
    <mergeCell ref="D35:E35"/>
    <mergeCell ref="B33:C33"/>
    <mergeCell ref="B34:C34"/>
    <mergeCell ref="B35:C35"/>
    <mergeCell ref="S34:T34"/>
    <mergeCell ref="P31:T31"/>
    <mergeCell ref="B30:I31"/>
    <mergeCell ref="Q32:R32"/>
    <mergeCell ref="Q34:R34"/>
    <mergeCell ref="H47:I47"/>
    <mergeCell ref="H48:I48"/>
    <mergeCell ref="H49:I49"/>
    <mergeCell ref="H50:I50"/>
    <mergeCell ref="H42:I42"/>
    <mergeCell ref="H43:I43"/>
    <mergeCell ref="H44:I44"/>
    <mergeCell ref="H45:I45"/>
    <mergeCell ref="H46:I46"/>
    <mergeCell ref="H37:I37"/>
    <mergeCell ref="H38:I38"/>
    <mergeCell ref="H39:I39"/>
    <mergeCell ref="H40:I40"/>
    <mergeCell ref="H41:I41"/>
    <mergeCell ref="H32:I32"/>
    <mergeCell ref="H33:I33"/>
    <mergeCell ref="H34:I34"/>
    <mergeCell ref="H35:I35"/>
    <mergeCell ref="H36:I36"/>
  </mergeCells>
  <conditionalFormatting sqref="H33">
    <cfRule type="cellIs" dxfId="15" priority="4" operator="lessThan">
      <formula>0</formula>
    </cfRule>
  </conditionalFormatting>
  <conditionalFormatting sqref="H33">
    <cfRule type="cellIs" dxfId="14" priority="3" operator="equal">
      <formula>"COMPRAR"</formula>
    </cfRule>
  </conditionalFormatting>
  <conditionalFormatting sqref="G33:G50">
    <cfRule type="cellIs" dxfId="13" priority="5" operator="lessThan">
      <formula>0</formula>
    </cfRule>
  </conditionalFormatting>
  <conditionalFormatting sqref="H34:H50">
    <cfRule type="cellIs" dxfId="12" priority="2" operator="lessThan">
      <formula>0</formula>
    </cfRule>
  </conditionalFormatting>
  <conditionalFormatting sqref="H34:H50">
    <cfRule type="cellIs" dxfId="11" priority="1" operator="equal">
      <formula>"COMPRAR"</formula>
    </cfRule>
  </conditionalFormatting>
  <dataValidations count="1">
    <dataValidation type="list" allowBlank="1" showInputMessage="1" showErrorMessage="1" sqref="M33">
      <formula1>"Cesta 1, Cesta 2, Cesta 3"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B17"/>
  <sheetViews>
    <sheetView showGridLines="0" showRowColHeaders="0" showZeros="0" zoomScale="130" zoomScaleNormal="130" workbookViewId="0"/>
  </sheetViews>
  <sheetFormatPr defaultColWidth="0" defaultRowHeight="15" zeroHeight="1" x14ac:dyDescent="0.25"/>
  <cols>
    <col min="1" max="1" width="3.42578125" customWidth="1"/>
    <col min="2" max="16" width="8.7109375" customWidth="1"/>
    <col min="17" max="28" width="0" hidden="1" customWidth="1"/>
    <col min="29" max="16384" width="8.7109375" hidden="1"/>
  </cols>
  <sheetData>
    <row r="1" spans="1:28" s="14" customFormat="1" ht="15.75" customHeight="1" x14ac:dyDescent="0.25">
      <c r="D1" s="30"/>
    </row>
    <row r="2" spans="1:28" s="14" customFormat="1" x14ac:dyDescent="0.25">
      <c r="D2" s="30"/>
    </row>
    <row r="3" spans="1:28" s="15" customFormat="1" ht="9.75" customHeight="1" x14ac:dyDescent="0.25">
      <c r="D3" s="31"/>
    </row>
    <row r="4" spans="1:28" ht="9.75" customHeight="1" x14ac:dyDescent="0.25">
      <c r="A4" s="23"/>
      <c r="B4" s="23"/>
      <c r="C4" s="23"/>
      <c r="D4" s="32"/>
      <c r="E4" s="23"/>
      <c r="F4" s="23"/>
      <c r="G4" s="23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</row>
    <row r="5" spans="1:28" x14ac:dyDescent="0.25">
      <c r="A5" s="23"/>
      <c r="B5" s="23"/>
      <c r="C5" s="23"/>
      <c r="D5" s="32"/>
      <c r="E5" s="23"/>
      <c r="F5" s="23"/>
      <c r="G5" s="23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</row>
    <row r="6" spans="1:28" x14ac:dyDescent="0.25"/>
    <row r="7" spans="1:28" x14ac:dyDescent="0.25">
      <c r="C7" s="412"/>
      <c r="D7" s="412"/>
      <c r="E7" s="413"/>
      <c r="F7" s="413"/>
      <c r="G7" s="414"/>
      <c r="H7" s="414"/>
      <c r="I7" s="415"/>
      <c r="J7" s="415"/>
      <c r="K7" s="416"/>
      <c r="L7" s="416"/>
      <c r="M7" s="400"/>
      <c r="N7" s="400"/>
    </row>
    <row r="8" spans="1:28" x14ac:dyDescent="0.25">
      <c r="C8" s="412" t="s">
        <v>139</v>
      </c>
      <c r="D8" s="412"/>
      <c r="E8" s="413" t="s">
        <v>138</v>
      </c>
      <c r="F8" s="413"/>
      <c r="G8" s="414" t="s">
        <v>137</v>
      </c>
      <c r="H8" s="414"/>
      <c r="I8" s="415" t="s">
        <v>136</v>
      </c>
      <c r="J8" s="415"/>
      <c r="K8" s="416" t="s">
        <v>135</v>
      </c>
      <c r="L8" s="416"/>
      <c r="M8" s="400" t="s">
        <v>161</v>
      </c>
      <c r="N8" s="400"/>
    </row>
    <row r="9" spans="1:28" ht="8.25" customHeight="1" x14ac:dyDescent="0.25">
      <c r="C9" s="160"/>
      <c r="D9" s="160"/>
      <c r="E9" s="159"/>
      <c r="F9" s="159"/>
      <c r="G9" s="158"/>
      <c r="H9" s="158"/>
      <c r="I9" s="157"/>
      <c r="J9" s="157"/>
      <c r="K9" s="156"/>
      <c r="L9" s="156"/>
      <c r="M9" s="230"/>
      <c r="N9" s="230"/>
    </row>
    <row r="10" spans="1:28" x14ac:dyDescent="0.25">
      <c r="C10" s="408" t="s">
        <v>142</v>
      </c>
      <c r="D10" s="408"/>
      <c r="E10" s="354" t="s">
        <v>142</v>
      </c>
      <c r="F10" s="354"/>
      <c r="G10" s="409" t="s">
        <v>142</v>
      </c>
      <c r="H10" s="409"/>
      <c r="I10" s="410" t="s">
        <v>142</v>
      </c>
      <c r="J10" s="410"/>
      <c r="K10" s="411" t="s">
        <v>142</v>
      </c>
      <c r="L10" s="411"/>
      <c r="M10" s="401" t="s">
        <v>162</v>
      </c>
      <c r="N10" s="401"/>
    </row>
    <row r="11" spans="1:28" ht="15" customHeight="1" x14ac:dyDescent="0.25">
      <c r="C11" s="403">
        <f>SUM(Tabela25[CESTA 1])</f>
        <v>0</v>
      </c>
      <c r="D11" s="403"/>
      <c r="E11" s="404">
        <f>SUM(Tabela25[CESTA 2])</f>
        <v>0</v>
      </c>
      <c r="F11" s="404"/>
      <c r="G11" s="405">
        <f>SUM(Tabela25[CESTA 3])</f>
        <v>0</v>
      </c>
      <c r="H11" s="405"/>
      <c r="I11" s="406">
        <f>SUM(Tabela25[CESTA 1/2])</f>
        <v>0</v>
      </c>
      <c r="J11" s="406"/>
      <c r="K11" s="407">
        <f>SUM(Tabela25[CESTA 2/2])</f>
        <v>0</v>
      </c>
      <c r="L11" s="407"/>
      <c r="M11" s="402">
        <f>SUM(Tabela25[Cesta Doção])</f>
        <v>0</v>
      </c>
      <c r="N11" s="402"/>
    </row>
    <row r="12" spans="1:28" ht="15" customHeight="1" x14ac:dyDescent="0.25">
      <c r="C12" s="403"/>
      <c r="D12" s="403"/>
      <c r="E12" s="404"/>
      <c r="F12" s="404"/>
      <c r="G12" s="405"/>
      <c r="H12" s="405"/>
      <c r="I12" s="406"/>
      <c r="J12" s="406"/>
      <c r="K12" s="407"/>
      <c r="L12" s="407"/>
      <c r="M12" s="402"/>
      <c r="N12" s="402"/>
    </row>
    <row r="13" spans="1:28" ht="23.25" x14ac:dyDescent="0.25">
      <c r="C13" s="155"/>
      <c r="D13" s="155"/>
      <c r="E13" s="154"/>
      <c r="F13" s="154"/>
      <c r="G13" s="153"/>
      <c r="H13" s="152"/>
      <c r="I13" s="100"/>
      <c r="J13" s="100"/>
      <c r="K13" s="151"/>
      <c r="L13" s="151"/>
      <c r="M13" s="231"/>
      <c r="N13" s="231"/>
    </row>
    <row r="14" spans="1:28" ht="15" customHeight="1" x14ac:dyDescent="0.25">
      <c r="C14" s="398" t="s">
        <v>82</v>
      </c>
      <c r="D14" s="398"/>
      <c r="E14" s="398"/>
      <c r="F14" s="398"/>
      <c r="G14" s="398"/>
      <c r="H14" s="398"/>
      <c r="I14" s="399">
        <f>SUM(C11:M12)</f>
        <v>0</v>
      </c>
      <c r="J14" s="399"/>
      <c r="K14" s="399"/>
      <c r="L14" s="150"/>
      <c r="M14" s="150"/>
      <c r="N14" s="150"/>
    </row>
    <row r="15" spans="1:28" ht="15" customHeight="1" x14ac:dyDescent="0.25">
      <c r="C15" s="398"/>
      <c r="D15" s="398"/>
      <c r="E15" s="398"/>
      <c r="F15" s="398"/>
      <c r="G15" s="398"/>
      <c r="H15" s="398"/>
      <c r="I15" s="399"/>
      <c r="J15" s="399"/>
      <c r="K15" s="399"/>
      <c r="L15" s="150"/>
      <c r="M15" s="150"/>
      <c r="N15" s="150"/>
    </row>
    <row r="16" spans="1:28" x14ac:dyDescent="0.25"/>
    <row r="17" x14ac:dyDescent="0.25"/>
  </sheetData>
  <sheetProtection selectLockedCells="1"/>
  <mergeCells count="26">
    <mergeCell ref="C7:D7"/>
    <mergeCell ref="E7:F7"/>
    <mergeCell ref="G7:H7"/>
    <mergeCell ref="I7:J7"/>
    <mergeCell ref="K7:L7"/>
    <mergeCell ref="C8:D8"/>
    <mergeCell ref="E8:F8"/>
    <mergeCell ref="G8:H8"/>
    <mergeCell ref="I8:J8"/>
    <mergeCell ref="K8:L8"/>
    <mergeCell ref="C14:H15"/>
    <mergeCell ref="I14:K15"/>
    <mergeCell ref="M7:N7"/>
    <mergeCell ref="M8:N8"/>
    <mergeCell ref="M10:N10"/>
    <mergeCell ref="M11:N12"/>
    <mergeCell ref="C11:D12"/>
    <mergeCell ref="E11:F12"/>
    <mergeCell ref="G11:H12"/>
    <mergeCell ref="I11:J12"/>
    <mergeCell ref="K11:L12"/>
    <mergeCell ref="C10:D10"/>
    <mergeCell ref="E10:F10"/>
    <mergeCell ref="G10:H10"/>
    <mergeCell ref="I10:J10"/>
    <mergeCell ref="K10:L10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H69"/>
  <sheetViews>
    <sheetView zoomScale="90" zoomScaleNormal="90" workbookViewId="0">
      <selection activeCell="H12" sqref="H12"/>
    </sheetView>
  </sheetViews>
  <sheetFormatPr defaultRowHeight="15" x14ac:dyDescent="0.25"/>
  <cols>
    <col min="1" max="1" width="15.5703125" customWidth="1"/>
    <col min="2" max="2" width="12.42578125" customWidth="1"/>
    <col min="3" max="3" width="3.42578125" customWidth="1"/>
    <col min="4" max="4" width="10.5703125" customWidth="1"/>
    <col min="5" max="5" width="3.5703125" customWidth="1"/>
    <col min="6" max="6" width="12.5703125" customWidth="1"/>
    <col min="7" max="7" width="4.28515625" customWidth="1"/>
    <col min="8" max="10" width="10.5703125" bestFit="1" customWidth="1"/>
    <col min="11" max="11" width="3.5703125" customWidth="1"/>
    <col min="12" max="12" width="17.42578125" bestFit="1" customWidth="1"/>
    <col min="13" max="13" width="42.140625" bestFit="1" customWidth="1"/>
    <col min="14" max="14" width="6.42578125" bestFit="1" customWidth="1"/>
    <col min="15" max="15" width="9.42578125" customWidth="1"/>
    <col min="16" max="17" width="13.140625" bestFit="1" customWidth="1"/>
    <col min="18" max="18" width="11" bestFit="1" customWidth="1"/>
    <col min="19" max="19" width="10.7109375" bestFit="1" customWidth="1"/>
    <col min="20" max="20" width="16.42578125" bestFit="1" customWidth="1"/>
    <col min="21" max="21" width="3.42578125" customWidth="1"/>
    <col min="22" max="22" width="10" bestFit="1" customWidth="1"/>
    <col min="23" max="23" width="12.140625" bestFit="1" customWidth="1"/>
    <col min="24" max="24" width="6.42578125" bestFit="1" customWidth="1"/>
    <col min="25" max="25" width="11" customWidth="1"/>
    <col min="26" max="27" width="11.85546875" bestFit="1" customWidth="1"/>
    <col min="28" max="28" width="10.42578125" customWidth="1"/>
    <col min="29" max="29" width="11.85546875" customWidth="1"/>
    <col min="30" max="30" width="16.42578125" bestFit="1" customWidth="1"/>
    <col min="31" max="31" width="4.42578125" customWidth="1"/>
    <col min="32" max="32" width="8.28515625" bestFit="1" customWidth="1"/>
    <col min="33" max="33" width="12.140625" bestFit="1" customWidth="1"/>
    <col min="34" max="34" width="6.42578125" bestFit="1" customWidth="1"/>
    <col min="35" max="35" width="11.42578125" customWidth="1"/>
    <col min="36" max="37" width="11.85546875" bestFit="1" customWidth="1"/>
    <col min="38" max="38" width="10.28515625" customWidth="1"/>
    <col min="39" max="39" width="10.140625" customWidth="1"/>
    <col min="40" max="40" width="15.140625" bestFit="1" customWidth="1"/>
    <col min="42" max="42" width="10.140625" bestFit="1" customWidth="1"/>
    <col min="43" max="43" width="12.140625" bestFit="1" customWidth="1"/>
    <col min="44" max="44" width="6.42578125" bestFit="1" customWidth="1"/>
    <col min="45" max="45" width="8.7109375" bestFit="1" customWidth="1"/>
    <col min="46" max="47" width="11.85546875" bestFit="1" customWidth="1"/>
    <col min="48" max="48" width="11" bestFit="1" customWidth="1"/>
    <col min="49" max="49" width="10.140625" bestFit="1" customWidth="1"/>
    <col min="50" max="50" width="14.85546875" customWidth="1"/>
    <col min="52" max="52" width="10.140625" bestFit="1" customWidth="1"/>
    <col min="53" max="53" width="12.140625" bestFit="1" customWidth="1"/>
    <col min="54" max="54" width="6.42578125" bestFit="1" customWidth="1"/>
    <col min="55" max="55" width="8.7109375" bestFit="1" customWidth="1"/>
    <col min="56" max="57" width="11.85546875" bestFit="1" customWidth="1"/>
    <col min="58" max="58" width="11.5703125" customWidth="1"/>
    <col min="59" max="59" width="10.140625" bestFit="1" customWidth="1"/>
    <col min="60" max="60" width="11.85546875" bestFit="1" customWidth="1"/>
  </cols>
  <sheetData>
    <row r="1" spans="1:60" ht="45" x14ac:dyDescent="0.25">
      <c r="A1" s="434" t="s">
        <v>128</v>
      </c>
      <c r="B1" s="434"/>
      <c r="F1" s="125" t="s">
        <v>127</v>
      </c>
      <c r="H1" s="124" t="s">
        <v>126</v>
      </c>
      <c r="I1" s="124" t="s">
        <v>125</v>
      </c>
      <c r="J1" s="124" t="s">
        <v>124</v>
      </c>
      <c r="L1" s="418" t="s">
        <v>123</v>
      </c>
      <c r="M1" s="419"/>
      <c r="N1" s="419"/>
      <c r="O1" s="419"/>
      <c r="P1" s="419"/>
      <c r="Q1" s="419"/>
      <c r="R1" s="419"/>
      <c r="S1" s="420"/>
      <c r="T1" s="123">
        <f>SUM(T3:T11)</f>
        <v>661.72500000000002</v>
      </c>
      <c r="V1" s="426" t="s">
        <v>122</v>
      </c>
      <c r="W1" s="426"/>
      <c r="X1" s="426"/>
      <c r="Y1" s="426"/>
      <c r="Z1" s="426"/>
      <c r="AA1" s="426"/>
      <c r="AB1" s="426"/>
      <c r="AC1" s="426"/>
      <c r="AD1" s="122">
        <f>SUM(AD3:AD11)</f>
        <v>648.04999999999995</v>
      </c>
      <c r="AF1" s="426" t="s">
        <v>121</v>
      </c>
      <c r="AG1" s="426"/>
      <c r="AH1" s="426"/>
      <c r="AI1" s="426"/>
      <c r="AJ1" s="426"/>
      <c r="AK1" s="426"/>
      <c r="AL1" s="426"/>
      <c r="AM1" s="426"/>
      <c r="AN1" s="122">
        <f>SUM(AN3:AN11)</f>
        <v>460.27499999999998</v>
      </c>
      <c r="AP1" s="418" t="s">
        <v>154</v>
      </c>
      <c r="AQ1" s="419"/>
      <c r="AR1" s="419"/>
      <c r="AS1" s="419"/>
      <c r="AT1" s="419"/>
      <c r="AU1" s="419"/>
      <c r="AV1" s="419"/>
      <c r="AW1" s="420"/>
      <c r="AX1" s="123">
        <f>SUM(AX3:AX11)</f>
        <v>499.875</v>
      </c>
      <c r="AY1" s="16"/>
      <c r="AZ1" s="426" t="s">
        <v>155</v>
      </c>
      <c r="BA1" s="426"/>
      <c r="BB1" s="426"/>
      <c r="BC1" s="426"/>
      <c r="BD1" s="426"/>
      <c r="BE1" s="426"/>
      <c r="BF1" s="426"/>
      <c r="BG1" s="426"/>
      <c r="BH1" s="229">
        <f>SUM(BH3:BH11)</f>
        <v>0</v>
      </c>
    </row>
    <row r="2" spans="1:60" ht="38.25" x14ac:dyDescent="0.25">
      <c r="A2" s="93" t="s">
        <v>120</v>
      </c>
      <c r="B2" s="93" t="s">
        <v>119</v>
      </c>
      <c r="F2" s="121">
        <f>SUM('ENTRADA | SAIDA'!F4:F1048576)</f>
        <v>0</v>
      </c>
      <c r="H2" s="95">
        <f>SUM(CESTAS!J8:J16)</f>
        <v>44.115000000000002</v>
      </c>
      <c r="I2" s="95">
        <f>SUM(CESTAS!J17:J25)</f>
        <v>64.805000000000021</v>
      </c>
      <c r="J2" s="95">
        <f>SUM(CESTAS!J26:J34)</f>
        <v>92.055000000000021</v>
      </c>
      <c r="L2" s="119" t="s">
        <v>93</v>
      </c>
      <c r="M2" s="120" t="s">
        <v>92</v>
      </c>
      <c r="N2" s="120" t="s">
        <v>91</v>
      </c>
      <c r="O2" s="119" t="s">
        <v>90</v>
      </c>
      <c r="P2" s="119" t="s">
        <v>89</v>
      </c>
      <c r="Q2" s="119" t="s">
        <v>88</v>
      </c>
      <c r="R2" s="119" t="s">
        <v>87</v>
      </c>
      <c r="S2" s="119" t="s">
        <v>86</v>
      </c>
      <c r="T2" s="119" t="s">
        <v>85</v>
      </c>
      <c r="V2" s="119" t="s">
        <v>93</v>
      </c>
      <c r="W2" s="120" t="s">
        <v>92</v>
      </c>
      <c r="X2" s="120" t="s">
        <v>91</v>
      </c>
      <c r="Y2" s="119" t="s">
        <v>90</v>
      </c>
      <c r="Z2" s="119" t="s">
        <v>89</v>
      </c>
      <c r="AA2" s="119" t="s">
        <v>88</v>
      </c>
      <c r="AB2" s="119" t="s">
        <v>87</v>
      </c>
      <c r="AC2" s="119" t="s">
        <v>86</v>
      </c>
      <c r="AD2" s="119" t="s">
        <v>85</v>
      </c>
      <c r="AF2" s="119" t="s">
        <v>93</v>
      </c>
      <c r="AG2" s="120" t="s">
        <v>92</v>
      </c>
      <c r="AH2" s="120" t="s">
        <v>91</v>
      </c>
      <c r="AI2" s="119" t="s">
        <v>90</v>
      </c>
      <c r="AJ2" s="119" t="s">
        <v>89</v>
      </c>
      <c r="AK2" s="119" t="s">
        <v>88</v>
      </c>
      <c r="AL2" s="119" t="s">
        <v>87</v>
      </c>
      <c r="AM2" s="119" t="s">
        <v>86</v>
      </c>
      <c r="AN2" s="119" t="s">
        <v>85</v>
      </c>
      <c r="AP2" s="119" t="s">
        <v>93</v>
      </c>
      <c r="AQ2" s="120" t="s">
        <v>92</v>
      </c>
      <c r="AR2" s="120" t="s">
        <v>91</v>
      </c>
      <c r="AS2" s="119" t="s">
        <v>90</v>
      </c>
      <c r="AT2" s="119" t="s">
        <v>89</v>
      </c>
      <c r="AU2" s="119" t="s">
        <v>88</v>
      </c>
      <c r="AV2" s="119" t="s">
        <v>87</v>
      </c>
      <c r="AW2" s="119" t="s">
        <v>86</v>
      </c>
      <c r="AX2" s="119" t="s">
        <v>85</v>
      </c>
      <c r="AY2" s="16"/>
      <c r="AZ2" s="119" t="s">
        <v>93</v>
      </c>
      <c r="BA2" s="120" t="s">
        <v>92</v>
      </c>
      <c r="BB2" s="120" t="s">
        <v>91</v>
      </c>
      <c r="BC2" s="119" t="s">
        <v>90</v>
      </c>
      <c r="BD2" s="119" t="s">
        <v>89</v>
      </c>
      <c r="BE2" s="119" t="s">
        <v>88</v>
      </c>
      <c r="BF2" s="119" t="s">
        <v>87</v>
      </c>
      <c r="BG2" s="119" t="s">
        <v>86</v>
      </c>
      <c r="BH2" s="119" t="s">
        <v>85</v>
      </c>
    </row>
    <row r="3" spans="1:60" ht="15.75" x14ac:dyDescent="0.25">
      <c r="A3" s="86" t="str">
        <f>'[1]MONTAGEM DE CESTA'!B21</f>
        <v>Arroz</v>
      </c>
      <c r="B3" s="190">
        <f>'MONTAGEM CESTA'!D25</f>
        <v>0</v>
      </c>
      <c r="L3" s="92" t="s">
        <v>56</v>
      </c>
      <c r="M3" s="91" t="str">
        <f>CESTAS!F8</f>
        <v>Arroz</v>
      </c>
      <c r="N3" s="91">
        <f>CESTAS!G8</f>
        <v>2.5</v>
      </c>
      <c r="O3" s="91" t="s">
        <v>32</v>
      </c>
      <c r="P3" s="84">
        <f>[1]CESTAS!I4</f>
        <v>3.31</v>
      </c>
      <c r="Q3" s="84">
        <f>CESTAS!J8</f>
        <v>8.2750000000000004</v>
      </c>
      <c r="R3" s="90">
        <f>'DASHBOARD GERAL'!$B$12</f>
        <v>15</v>
      </c>
      <c r="S3" s="90">
        <f t="shared" ref="S3:S11" si="0">IF(N3&lt;&gt;"",N3*R3)</f>
        <v>37.5</v>
      </c>
      <c r="T3" s="84">
        <f t="shared" ref="T3:T11" si="1">IF(Q3&lt;&gt;"",Q3*R3)</f>
        <v>124.125</v>
      </c>
      <c r="V3" s="89" t="s">
        <v>57</v>
      </c>
      <c r="W3" s="88" t="s">
        <v>31</v>
      </c>
      <c r="X3" s="88">
        <f>CESTAS!G17</f>
        <v>5</v>
      </c>
      <c r="Y3" s="88" t="s">
        <v>32</v>
      </c>
      <c r="Z3" s="94">
        <f>CESTAS!I17</f>
        <v>3.31</v>
      </c>
      <c r="AA3" s="94">
        <f>CESTAS!J17</f>
        <v>16.55</v>
      </c>
      <c r="AB3" s="105">
        <f>'DASHBOARD GERAL'!$G$12</f>
        <v>10</v>
      </c>
      <c r="AC3" s="90">
        <f t="shared" ref="AC3:AC11" si="2">IF(X3&lt;&gt;"",X3*AB3)</f>
        <v>50</v>
      </c>
      <c r="AD3" s="84">
        <f t="shared" ref="AD3:AD11" si="3">AA3*AB3</f>
        <v>165.5</v>
      </c>
      <c r="AF3" s="89" t="s">
        <v>58</v>
      </c>
      <c r="AG3" s="88" t="s">
        <v>31</v>
      </c>
      <c r="AH3" s="88">
        <f>CESTAS!G26</f>
        <v>7.5</v>
      </c>
      <c r="AI3" s="88" t="s">
        <v>32</v>
      </c>
      <c r="AJ3" s="94">
        <f>CESTAS!I26</f>
        <v>3.31</v>
      </c>
      <c r="AK3" s="94">
        <f>CESTAS!J26</f>
        <v>24.824999999999999</v>
      </c>
      <c r="AL3" s="90">
        <f>'DASHBOARD GERAL'!$L$12</f>
        <v>5</v>
      </c>
      <c r="AM3" s="90">
        <f t="shared" ref="AM3:AM11" si="4">IF(AH3&lt;&gt;"",AH3*AL3)</f>
        <v>37.5</v>
      </c>
      <c r="AN3" s="84">
        <f t="shared" ref="AN3:AN11" si="5">AK3*AL3</f>
        <v>124.125</v>
      </c>
      <c r="AP3" s="92" t="str">
        <f>CESTAS!E35</f>
        <v>Cesta 1/2</v>
      </c>
      <c r="AQ3" s="91" t="str">
        <f>CESTAS!F35</f>
        <v>Arroz</v>
      </c>
      <c r="AR3" s="91">
        <f>CESTAS!G35</f>
        <v>2.5</v>
      </c>
      <c r="AS3" s="91" t="str">
        <f>CESTAS!H8</f>
        <v>kg</v>
      </c>
      <c r="AT3" s="84">
        <f>CESTAS!I8</f>
        <v>3.31</v>
      </c>
      <c r="AU3" s="84">
        <f>IF(AR3&lt;&gt;"",AR3*AT3)</f>
        <v>8.2750000000000004</v>
      </c>
      <c r="AV3" s="90">
        <f>'DASHBOARD GERAL'!$Q$12</f>
        <v>15</v>
      </c>
      <c r="AW3" s="90">
        <f>IF(AR3&lt;&gt;"",AR3*AV3)</f>
        <v>37.5</v>
      </c>
      <c r="AX3" s="84">
        <f t="shared" ref="AX3:AX11" si="6">IF(AU3&lt;&gt;"",AU3*AV3)</f>
        <v>124.125</v>
      </c>
      <c r="AZ3" s="89" t="str">
        <f>CESTAS!E44</f>
        <v>Cesta 2/2</v>
      </c>
      <c r="BA3" s="88" t="str">
        <f>CESTAS!F44</f>
        <v>Arroz</v>
      </c>
      <c r="BB3" s="88">
        <f>CESTAS!G44</f>
        <v>5</v>
      </c>
      <c r="BC3" s="88" t="str">
        <f>CESTAS!H44</f>
        <v>kg</v>
      </c>
      <c r="BD3" s="87">
        <f>CESTAS!I44</f>
        <v>3.31</v>
      </c>
      <c r="BE3" s="87">
        <f>IF(BB3&lt;&gt;"",BB3*BD3)</f>
        <v>16.55</v>
      </c>
      <c r="BF3" s="86">
        <f>'DASHBOARD GERAL'!$V$12</f>
        <v>0</v>
      </c>
      <c r="BG3" s="85">
        <f t="shared" ref="BG3:BG11" si="7">BF3*BB3</f>
        <v>0</v>
      </c>
      <c r="BH3" s="84">
        <f t="shared" ref="BH3:BH11" si="8">BF3*BE3</f>
        <v>0</v>
      </c>
    </row>
    <row r="4" spans="1:60" ht="15.75" x14ac:dyDescent="0.25">
      <c r="A4" s="86" t="str">
        <f>'[1]MONTAGEM DE CESTA'!B22</f>
        <v>Feijão</v>
      </c>
      <c r="B4" s="190">
        <f>'MONTAGEM CESTA'!D26</f>
        <v>0</v>
      </c>
      <c r="L4" s="92" t="s">
        <v>56</v>
      </c>
      <c r="M4" s="91" t="str">
        <f>CESTAS!F9</f>
        <v>Feijão</v>
      </c>
      <c r="N4" s="91">
        <f>CESTAS!G9</f>
        <v>1</v>
      </c>
      <c r="O4" s="91" t="s">
        <v>32</v>
      </c>
      <c r="P4" s="84">
        <f>[1]CESTAS!I5</f>
        <v>8.48</v>
      </c>
      <c r="Q4" s="84">
        <f>CESTAS!J9</f>
        <v>8.48</v>
      </c>
      <c r="R4" s="90">
        <f>'DASHBOARD GERAL'!$B$12</f>
        <v>15</v>
      </c>
      <c r="S4" s="90">
        <f t="shared" si="0"/>
        <v>15</v>
      </c>
      <c r="T4" s="84">
        <f t="shared" si="1"/>
        <v>127.2</v>
      </c>
      <c r="V4" s="89" t="s">
        <v>57</v>
      </c>
      <c r="W4" s="88" t="s">
        <v>33</v>
      </c>
      <c r="X4" s="88">
        <f>CESTAS!G18</f>
        <v>2</v>
      </c>
      <c r="Y4" s="88" t="s">
        <v>32</v>
      </c>
      <c r="Z4" s="94">
        <f>CESTAS!I18</f>
        <v>8.48</v>
      </c>
      <c r="AA4" s="94">
        <f>CESTAS!J18</f>
        <v>16.96</v>
      </c>
      <c r="AB4" s="105">
        <f>'DASHBOARD GERAL'!$G$12</f>
        <v>10</v>
      </c>
      <c r="AC4" s="90">
        <f t="shared" si="2"/>
        <v>20</v>
      </c>
      <c r="AD4" s="84">
        <f t="shared" si="3"/>
        <v>169.60000000000002</v>
      </c>
      <c r="AF4" s="89" t="s">
        <v>58</v>
      </c>
      <c r="AG4" s="88" t="s">
        <v>33</v>
      </c>
      <c r="AH4" s="88">
        <f>CESTAS!G27</f>
        <v>3</v>
      </c>
      <c r="AI4" s="88" t="s">
        <v>32</v>
      </c>
      <c r="AJ4" s="94">
        <f>CESTAS!I27</f>
        <v>8.48</v>
      </c>
      <c r="AK4" s="94">
        <f>CESTAS!J27</f>
        <v>25.44</v>
      </c>
      <c r="AL4" s="90">
        <f>'DASHBOARD GERAL'!$L$12</f>
        <v>5</v>
      </c>
      <c r="AM4" s="90">
        <f t="shared" si="4"/>
        <v>15</v>
      </c>
      <c r="AN4" s="84">
        <f t="shared" si="5"/>
        <v>127.2</v>
      </c>
      <c r="AP4" s="92" t="str">
        <f>[1]CESTAS!E32</f>
        <v>Cesta 1/2</v>
      </c>
      <c r="AQ4" s="91" t="str">
        <f>[1]CESTAS!F41</f>
        <v>Feijão</v>
      </c>
      <c r="AR4" s="91">
        <f>CESTAS!G36</f>
        <v>1</v>
      </c>
      <c r="AS4" s="91" t="str">
        <f>CESTAS!H9</f>
        <v>kg</v>
      </c>
      <c r="AT4" s="84">
        <f>CESTAS!I9</f>
        <v>8.48</v>
      </c>
      <c r="AU4" s="84">
        <f>IF(AR4&lt;&gt;"",AR4*AT4)</f>
        <v>8.48</v>
      </c>
      <c r="AV4" s="90">
        <f>'DASHBOARD GERAL'!$Q$12</f>
        <v>15</v>
      </c>
      <c r="AW4" s="90">
        <f t="shared" ref="AW4:AW11" si="9">IF(AR4&lt;&gt;"",AR4*AV4)</f>
        <v>15</v>
      </c>
      <c r="AX4" s="84">
        <f t="shared" si="6"/>
        <v>127.2</v>
      </c>
      <c r="AZ4" s="89" t="str">
        <f>CESTAS!E45</f>
        <v>Cesta 2/2</v>
      </c>
      <c r="BA4" s="88" t="str">
        <f>CESTAS!F45</f>
        <v>Feijão</v>
      </c>
      <c r="BB4" s="88">
        <f>CESTAS!G45</f>
        <v>2</v>
      </c>
      <c r="BC4" s="88" t="str">
        <f>CESTAS!H45</f>
        <v>kg</v>
      </c>
      <c r="BD4" s="87">
        <f>CESTAS!I45</f>
        <v>8.48</v>
      </c>
      <c r="BE4" s="87">
        <f t="shared" ref="BE4:BE11" si="10">IF(BB4&lt;&gt;"",BB4*BD4)</f>
        <v>16.96</v>
      </c>
      <c r="BF4" s="86">
        <f>'DASHBOARD GERAL'!$V$12</f>
        <v>0</v>
      </c>
      <c r="BG4" s="85">
        <f t="shared" si="7"/>
        <v>0</v>
      </c>
      <c r="BH4" s="84">
        <f t="shared" si="8"/>
        <v>0</v>
      </c>
    </row>
    <row r="5" spans="1:60" ht="15.75" x14ac:dyDescent="0.25">
      <c r="A5" s="86" t="str">
        <f>'[1]MONTAGEM DE CESTA'!B23</f>
        <v>Fubá</v>
      </c>
      <c r="B5" s="190">
        <f>'MONTAGEM CESTA'!D27</f>
        <v>0</v>
      </c>
      <c r="L5" s="92" t="s">
        <v>56</v>
      </c>
      <c r="M5" s="91" t="str">
        <f>CESTAS!F10</f>
        <v>Fubá</v>
      </c>
      <c r="N5" s="91">
        <f>CESTAS!G10</f>
        <v>1</v>
      </c>
      <c r="O5" s="91" t="s">
        <v>32</v>
      </c>
      <c r="P5" s="84">
        <f>[1]CESTAS!I6</f>
        <v>2.85</v>
      </c>
      <c r="Q5" s="84">
        <f>CESTAS!J10</f>
        <v>2.85</v>
      </c>
      <c r="R5" s="90">
        <f>'DASHBOARD GERAL'!$B$12</f>
        <v>15</v>
      </c>
      <c r="S5" s="90">
        <f t="shared" si="0"/>
        <v>15</v>
      </c>
      <c r="T5" s="84">
        <f t="shared" si="1"/>
        <v>42.75</v>
      </c>
      <c r="V5" s="89" t="s">
        <v>57</v>
      </c>
      <c r="W5" s="88" t="s">
        <v>34</v>
      </c>
      <c r="X5" s="88">
        <f>CESTAS!G19</f>
        <v>1</v>
      </c>
      <c r="Y5" s="88" t="s">
        <v>32</v>
      </c>
      <c r="Z5" s="94">
        <f>CESTAS!I19</f>
        <v>2.85</v>
      </c>
      <c r="AA5" s="94">
        <f>CESTAS!J19</f>
        <v>2.85</v>
      </c>
      <c r="AB5" s="105">
        <f>'DASHBOARD GERAL'!$G$12</f>
        <v>10</v>
      </c>
      <c r="AC5" s="90">
        <f t="shared" si="2"/>
        <v>10</v>
      </c>
      <c r="AD5" s="84">
        <f t="shared" si="3"/>
        <v>28.5</v>
      </c>
      <c r="AF5" s="89" t="s">
        <v>58</v>
      </c>
      <c r="AG5" s="88" t="s">
        <v>34</v>
      </c>
      <c r="AH5" s="88">
        <f>CESTAS!G28</f>
        <v>2</v>
      </c>
      <c r="AI5" s="88" t="s">
        <v>32</v>
      </c>
      <c r="AJ5" s="94">
        <f>CESTAS!I28</f>
        <v>2.85</v>
      </c>
      <c r="AK5" s="94">
        <f>CESTAS!J28</f>
        <v>5.7</v>
      </c>
      <c r="AL5" s="90">
        <f>'DASHBOARD GERAL'!$L$12</f>
        <v>5</v>
      </c>
      <c r="AM5" s="90">
        <f t="shared" si="4"/>
        <v>10</v>
      </c>
      <c r="AN5" s="84">
        <f t="shared" si="5"/>
        <v>28.5</v>
      </c>
      <c r="AP5" s="92" t="str">
        <f>[1]CESTAS!E33</f>
        <v>Cesta 1/2</v>
      </c>
      <c r="AQ5" s="91" t="str">
        <f>[1]CESTAS!F42</f>
        <v>Fubá</v>
      </c>
      <c r="AR5" s="91">
        <f>CESTAS!G37</f>
        <v>1</v>
      </c>
      <c r="AS5" s="91" t="str">
        <f>CESTAS!H10</f>
        <v>kg</v>
      </c>
      <c r="AT5" s="84">
        <f>CESTAS!I10</f>
        <v>2.85</v>
      </c>
      <c r="AU5" s="84">
        <f t="shared" ref="AU5:AU11" si="11">IF(AR5&lt;&gt;"",AR5*AT5)</f>
        <v>2.85</v>
      </c>
      <c r="AV5" s="90">
        <f>'DASHBOARD GERAL'!$Q$12</f>
        <v>15</v>
      </c>
      <c r="AW5" s="90">
        <f t="shared" si="9"/>
        <v>15</v>
      </c>
      <c r="AX5" s="84">
        <f t="shared" si="6"/>
        <v>42.75</v>
      </c>
      <c r="AZ5" s="89" t="str">
        <f>CESTAS!E46</f>
        <v>Cesta 2/2</v>
      </c>
      <c r="BA5" s="88" t="str">
        <f>CESTAS!F46</f>
        <v>Fubá</v>
      </c>
      <c r="BB5" s="88">
        <f>CESTAS!G46</f>
        <v>1</v>
      </c>
      <c r="BC5" s="88" t="str">
        <f>CESTAS!H46</f>
        <v>kg</v>
      </c>
      <c r="BD5" s="87">
        <f>CESTAS!I46</f>
        <v>2.85</v>
      </c>
      <c r="BE5" s="87">
        <f t="shared" si="10"/>
        <v>2.85</v>
      </c>
      <c r="BF5" s="86">
        <f>'DASHBOARD GERAL'!$V$12</f>
        <v>0</v>
      </c>
      <c r="BG5" s="85">
        <f t="shared" si="7"/>
        <v>0</v>
      </c>
      <c r="BH5" s="84">
        <f t="shared" si="8"/>
        <v>0</v>
      </c>
    </row>
    <row r="6" spans="1:60" ht="15.75" x14ac:dyDescent="0.25">
      <c r="A6" s="86" t="str">
        <f>'[1]MONTAGEM DE CESTA'!B24</f>
        <v>Açúcar</v>
      </c>
      <c r="B6" s="190">
        <f>'MONTAGEM CESTA'!D28</f>
        <v>0</v>
      </c>
      <c r="L6" s="92" t="s">
        <v>56</v>
      </c>
      <c r="M6" s="91" t="str">
        <f>CESTAS!F11</f>
        <v>Açúcar</v>
      </c>
      <c r="N6" s="91">
        <f>CESTAS!G11</f>
        <v>1</v>
      </c>
      <c r="O6" s="91" t="s">
        <v>32</v>
      </c>
      <c r="P6" s="84">
        <f>[1]CESTAS!I7</f>
        <v>3.43</v>
      </c>
      <c r="Q6" s="84">
        <f>CESTAS!J11</f>
        <v>3.43</v>
      </c>
      <c r="R6" s="90">
        <f>'DASHBOARD GERAL'!$B$12</f>
        <v>15</v>
      </c>
      <c r="S6" s="90">
        <f t="shared" si="0"/>
        <v>15</v>
      </c>
      <c r="T6" s="84">
        <f t="shared" si="1"/>
        <v>51.45</v>
      </c>
      <c r="V6" s="89" t="s">
        <v>57</v>
      </c>
      <c r="W6" s="88" t="s">
        <v>113</v>
      </c>
      <c r="X6" s="88">
        <f>CESTAS!G20</f>
        <v>1.5</v>
      </c>
      <c r="Y6" s="88" t="s">
        <v>32</v>
      </c>
      <c r="Z6" s="94">
        <f>CESTAS!I20</f>
        <v>3.43</v>
      </c>
      <c r="AA6" s="94">
        <f>CESTAS!J20</f>
        <v>5.1450000000000005</v>
      </c>
      <c r="AB6" s="105">
        <f>'DASHBOARD GERAL'!$G$12</f>
        <v>10</v>
      </c>
      <c r="AC6" s="90">
        <f t="shared" si="2"/>
        <v>15</v>
      </c>
      <c r="AD6" s="84">
        <f t="shared" si="3"/>
        <v>51.45</v>
      </c>
      <c r="AF6" s="89" t="s">
        <v>58</v>
      </c>
      <c r="AG6" s="88" t="s">
        <v>113</v>
      </c>
      <c r="AH6" s="88">
        <f>CESTAS!G29</f>
        <v>2</v>
      </c>
      <c r="AI6" s="88" t="s">
        <v>32</v>
      </c>
      <c r="AJ6" s="94">
        <f>CESTAS!I29</f>
        <v>3.43</v>
      </c>
      <c r="AK6" s="94">
        <f>CESTAS!J29</f>
        <v>6.86</v>
      </c>
      <c r="AL6" s="90">
        <f>'DASHBOARD GERAL'!$L$12</f>
        <v>5</v>
      </c>
      <c r="AM6" s="90">
        <f t="shared" si="4"/>
        <v>10</v>
      </c>
      <c r="AN6" s="84">
        <f t="shared" si="5"/>
        <v>34.300000000000004</v>
      </c>
      <c r="AP6" s="92" t="str">
        <f>[1]CESTAS!E34</f>
        <v>Cesta 1/2</v>
      </c>
      <c r="AQ6" s="91" t="str">
        <f>[1]CESTAS!F43</f>
        <v>Açúcar</v>
      </c>
      <c r="AR6" s="91">
        <f>CESTAS!G38</f>
        <v>1</v>
      </c>
      <c r="AS6" s="91" t="str">
        <f>CESTAS!H11</f>
        <v>kg</v>
      </c>
      <c r="AT6" s="84">
        <f>CESTAS!I11</f>
        <v>3.43</v>
      </c>
      <c r="AU6" s="84">
        <f t="shared" si="11"/>
        <v>3.43</v>
      </c>
      <c r="AV6" s="90">
        <f>'DASHBOARD GERAL'!$Q$12</f>
        <v>15</v>
      </c>
      <c r="AW6" s="90">
        <f t="shared" si="9"/>
        <v>15</v>
      </c>
      <c r="AX6" s="84">
        <f t="shared" si="6"/>
        <v>51.45</v>
      </c>
      <c r="AZ6" s="89" t="str">
        <f>CESTAS!E47</f>
        <v>Cesta 2/2</v>
      </c>
      <c r="BA6" s="88" t="str">
        <f>CESTAS!F47</f>
        <v>Açúcar</v>
      </c>
      <c r="BB6" s="88">
        <f>CESTAS!G47</f>
        <v>1.5</v>
      </c>
      <c r="BC6" s="88" t="str">
        <f>CESTAS!H47</f>
        <v>kg</v>
      </c>
      <c r="BD6" s="87">
        <f>CESTAS!I47</f>
        <v>3.43</v>
      </c>
      <c r="BE6" s="87">
        <f t="shared" si="10"/>
        <v>5.1450000000000005</v>
      </c>
      <c r="BF6" s="86">
        <f>'DASHBOARD GERAL'!$V$12</f>
        <v>0</v>
      </c>
      <c r="BG6" s="85">
        <f t="shared" si="7"/>
        <v>0</v>
      </c>
      <c r="BH6" s="84">
        <f t="shared" si="8"/>
        <v>0</v>
      </c>
    </row>
    <row r="7" spans="1:60" ht="15.75" x14ac:dyDescent="0.25">
      <c r="A7" s="86" t="str">
        <f>'[1]MONTAGEM DE CESTA'!B25</f>
        <v>Espaguete</v>
      </c>
      <c r="B7" s="190">
        <f>'MONTAGEM CESTA'!D29</f>
        <v>0</v>
      </c>
      <c r="L7" s="92" t="s">
        <v>56</v>
      </c>
      <c r="M7" s="91" t="str">
        <f>CESTAS!F12</f>
        <v>Espaguete</v>
      </c>
      <c r="N7" s="91">
        <f>CESTAS!G12</f>
        <v>1.5</v>
      </c>
      <c r="O7" s="91" t="s">
        <v>32</v>
      </c>
      <c r="P7" s="84">
        <f>[1]CESTAS!I8</f>
        <v>4.4400000000000004</v>
      </c>
      <c r="Q7" s="84">
        <f>CESTAS!J12</f>
        <v>6.66</v>
      </c>
      <c r="R7" s="90">
        <f>'DASHBOARD GERAL'!$B$12</f>
        <v>15</v>
      </c>
      <c r="S7" s="90">
        <f t="shared" si="0"/>
        <v>22.5</v>
      </c>
      <c r="T7" s="84">
        <f t="shared" si="1"/>
        <v>99.9</v>
      </c>
      <c r="V7" s="89" t="s">
        <v>57</v>
      </c>
      <c r="W7" s="88" t="s">
        <v>36</v>
      </c>
      <c r="X7" s="88">
        <f>CESTAS!G21</f>
        <v>2</v>
      </c>
      <c r="Y7" s="88" t="s">
        <v>32</v>
      </c>
      <c r="Z7" s="94">
        <f>CESTAS!I21</f>
        <v>4.4400000000000004</v>
      </c>
      <c r="AA7" s="94">
        <f>CESTAS!J21</f>
        <v>8.8800000000000008</v>
      </c>
      <c r="AB7" s="105">
        <f>'DASHBOARD GERAL'!$G$12</f>
        <v>10</v>
      </c>
      <c r="AC7" s="90">
        <f t="shared" si="2"/>
        <v>20</v>
      </c>
      <c r="AD7" s="84">
        <f t="shared" si="3"/>
        <v>88.800000000000011</v>
      </c>
      <c r="AF7" s="89" t="s">
        <v>58</v>
      </c>
      <c r="AG7" s="88" t="s">
        <v>36</v>
      </c>
      <c r="AH7" s="88">
        <f>CESTAS!G30</f>
        <v>3</v>
      </c>
      <c r="AI7" s="88" t="s">
        <v>32</v>
      </c>
      <c r="AJ7" s="94">
        <f>CESTAS!I30</f>
        <v>4.4400000000000004</v>
      </c>
      <c r="AK7" s="94">
        <f>CESTAS!J30</f>
        <v>13.32</v>
      </c>
      <c r="AL7" s="90">
        <f>'DASHBOARD GERAL'!$L$12</f>
        <v>5</v>
      </c>
      <c r="AM7" s="90">
        <f t="shared" si="4"/>
        <v>15</v>
      </c>
      <c r="AN7" s="84">
        <f t="shared" si="5"/>
        <v>66.599999999999994</v>
      </c>
      <c r="AP7" s="92" t="str">
        <f>[1]CESTAS!E35</f>
        <v>Cesta 1/2</v>
      </c>
      <c r="AQ7" s="91" t="str">
        <f>[1]CESTAS!F44</f>
        <v>Espaguete</v>
      </c>
      <c r="AR7" s="91">
        <f>CESTAS!G39</f>
        <v>1.5</v>
      </c>
      <c r="AS7" s="91" t="str">
        <f>CESTAS!H12</f>
        <v>kg</v>
      </c>
      <c r="AT7" s="84">
        <f>CESTAS!I12</f>
        <v>4.4400000000000004</v>
      </c>
      <c r="AU7" s="84">
        <f t="shared" si="11"/>
        <v>6.66</v>
      </c>
      <c r="AV7" s="90">
        <f>'DASHBOARD GERAL'!$Q$12</f>
        <v>15</v>
      </c>
      <c r="AW7" s="90">
        <f t="shared" si="9"/>
        <v>22.5</v>
      </c>
      <c r="AX7" s="84">
        <f t="shared" si="6"/>
        <v>99.9</v>
      </c>
      <c r="AZ7" s="89" t="str">
        <f>CESTAS!E48</f>
        <v>Cesta 2/2</v>
      </c>
      <c r="BA7" s="88" t="str">
        <f>CESTAS!F48</f>
        <v>Espaguete</v>
      </c>
      <c r="BB7" s="88">
        <f>CESTAS!G48</f>
        <v>2</v>
      </c>
      <c r="BC7" s="88" t="str">
        <f>CESTAS!H48</f>
        <v>kg</v>
      </c>
      <c r="BD7" s="87">
        <f>CESTAS!I48</f>
        <v>4.4400000000000004</v>
      </c>
      <c r="BE7" s="87">
        <f t="shared" si="10"/>
        <v>8.8800000000000008</v>
      </c>
      <c r="BF7" s="86">
        <f>'DASHBOARD GERAL'!$V$12</f>
        <v>0</v>
      </c>
      <c r="BG7" s="85">
        <f t="shared" si="7"/>
        <v>0</v>
      </c>
      <c r="BH7" s="84">
        <f t="shared" si="8"/>
        <v>0</v>
      </c>
    </row>
    <row r="8" spans="1:60" ht="15.75" x14ac:dyDescent="0.25">
      <c r="A8" s="86" t="str">
        <f>'[1]MONTAGEM DE CESTA'!B26</f>
        <v>Café</v>
      </c>
      <c r="B8" s="190">
        <f>'MONTAGEM CESTA'!D30</f>
        <v>0</v>
      </c>
      <c r="L8" s="92" t="s">
        <v>56</v>
      </c>
      <c r="M8" s="91" t="str">
        <f>CESTAS!F13</f>
        <v>Café</v>
      </c>
      <c r="N8" s="91">
        <f>CESTAS!G13</f>
        <v>0.25</v>
      </c>
      <c r="O8" s="91" t="s">
        <v>32</v>
      </c>
      <c r="P8" s="84">
        <f>[1]CESTAS!I9</f>
        <v>8.56</v>
      </c>
      <c r="Q8" s="84">
        <f>CESTAS!J13</f>
        <v>2.14</v>
      </c>
      <c r="R8" s="90">
        <f>'DASHBOARD GERAL'!$B$12</f>
        <v>15</v>
      </c>
      <c r="S8" s="90">
        <f t="shared" si="0"/>
        <v>3.75</v>
      </c>
      <c r="T8" s="84">
        <f t="shared" si="1"/>
        <v>32.1</v>
      </c>
      <c r="V8" s="89" t="s">
        <v>57</v>
      </c>
      <c r="W8" s="88" t="s">
        <v>37</v>
      </c>
      <c r="X8" s="88">
        <f>CESTAS!G22</f>
        <v>0.25</v>
      </c>
      <c r="Y8" s="88" t="s">
        <v>32</v>
      </c>
      <c r="Z8" s="94">
        <f>CESTAS!I22</f>
        <v>8.56</v>
      </c>
      <c r="AA8" s="94">
        <f>CESTAS!J22</f>
        <v>2.14</v>
      </c>
      <c r="AB8" s="105">
        <f>'DASHBOARD GERAL'!$G$12</f>
        <v>10</v>
      </c>
      <c r="AC8" s="90">
        <f t="shared" si="2"/>
        <v>2.5</v>
      </c>
      <c r="AD8" s="84">
        <f t="shared" si="3"/>
        <v>21.400000000000002</v>
      </c>
      <c r="AF8" s="89" t="s">
        <v>58</v>
      </c>
      <c r="AG8" s="88" t="s">
        <v>37</v>
      </c>
      <c r="AH8" s="88">
        <f>CESTAS!G31</f>
        <v>0.25</v>
      </c>
      <c r="AI8" s="88" t="s">
        <v>32</v>
      </c>
      <c r="AJ8" s="94">
        <f>CESTAS!I31</f>
        <v>8.56</v>
      </c>
      <c r="AK8" s="94">
        <f>CESTAS!J31</f>
        <v>2.14</v>
      </c>
      <c r="AL8" s="90">
        <f>'DASHBOARD GERAL'!$L$12</f>
        <v>5</v>
      </c>
      <c r="AM8" s="90">
        <f t="shared" si="4"/>
        <v>1.25</v>
      </c>
      <c r="AN8" s="84">
        <f t="shared" si="5"/>
        <v>10.700000000000001</v>
      </c>
      <c r="AP8" s="92" t="str">
        <f>[1]CESTAS!E36</f>
        <v>Cesta 1/2</v>
      </c>
      <c r="AQ8" s="91" t="str">
        <f>[1]CESTAS!F45</f>
        <v>Café</v>
      </c>
      <c r="AR8" s="91">
        <f>CESTAS!G40</f>
        <v>0.25</v>
      </c>
      <c r="AS8" s="91" t="str">
        <f>CESTAS!H13</f>
        <v>kg</v>
      </c>
      <c r="AT8" s="84">
        <f>CESTAS!I13</f>
        <v>8.56</v>
      </c>
      <c r="AU8" s="84">
        <f t="shared" si="11"/>
        <v>2.14</v>
      </c>
      <c r="AV8" s="90">
        <f>'DASHBOARD GERAL'!$Q$12</f>
        <v>15</v>
      </c>
      <c r="AW8" s="90">
        <f t="shared" si="9"/>
        <v>3.75</v>
      </c>
      <c r="AX8" s="84">
        <f t="shared" si="6"/>
        <v>32.1</v>
      </c>
      <c r="AZ8" s="89" t="str">
        <f>CESTAS!E49</f>
        <v>Cesta 2/2</v>
      </c>
      <c r="BA8" s="88" t="str">
        <f>CESTAS!F49</f>
        <v>Café</v>
      </c>
      <c r="BB8" s="88">
        <f>CESTAS!G49</f>
        <v>0.25</v>
      </c>
      <c r="BC8" s="88" t="str">
        <f>CESTAS!H49</f>
        <v>kg</v>
      </c>
      <c r="BD8" s="87">
        <f>CESTAS!I49</f>
        <v>8.56</v>
      </c>
      <c r="BE8" s="87">
        <f t="shared" si="10"/>
        <v>2.14</v>
      </c>
      <c r="BF8" s="86">
        <f>'DASHBOARD GERAL'!$V$12</f>
        <v>0</v>
      </c>
      <c r="BG8" s="85">
        <f t="shared" si="7"/>
        <v>0</v>
      </c>
      <c r="BH8" s="84">
        <f t="shared" si="8"/>
        <v>0</v>
      </c>
    </row>
    <row r="9" spans="1:60" ht="15.75" x14ac:dyDescent="0.25">
      <c r="A9" s="86" t="str">
        <f>'[1]MONTAGEM DE CESTA'!B27</f>
        <v>Óleo</v>
      </c>
      <c r="B9" s="190">
        <f>'MONTAGEM CESTA'!D31</f>
        <v>0</v>
      </c>
      <c r="L9" s="92" t="s">
        <v>56</v>
      </c>
      <c r="M9" s="91" t="str">
        <f>CESTAS!F14</f>
        <v>Óleo</v>
      </c>
      <c r="N9" s="91">
        <f>CESTAS!G14</f>
        <v>1</v>
      </c>
      <c r="O9" s="91" t="s">
        <v>39</v>
      </c>
      <c r="P9" s="84">
        <f>[1]CESTAS!I10</f>
        <v>10.79</v>
      </c>
      <c r="Q9" s="84">
        <f>CESTAS!J14</f>
        <v>10.79</v>
      </c>
      <c r="R9" s="90">
        <f>'DASHBOARD GERAL'!$B$12</f>
        <v>15</v>
      </c>
      <c r="S9" s="90">
        <f t="shared" si="0"/>
        <v>15</v>
      </c>
      <c r="T9" s="84">
        <f t="shared" si="1"/>
        <v>161.85</v>
      </c>
      <c r="V9" s="89" t="s">
        <v>57</v>
      </c>
      <c r="W9" s="88" t="s">
        <v>38</v>
      </c>
      <c r="X9" s="88">
        <f>CESTAS!G23</f>
        <v>1</v>
      </c>
      <c r="Y9" s="88" t="s">
        <v>39</v>
      </c>
      <c r="Z9" s="94">
        <f>CESTAS!I23</f>
        <v>10.79</v>
      </c>
      <c r="AA9" s="94">
        <f>CESTAS!J23</f>
        <v>10.79</v>
      </c>
      <c r="AB9" s="105">
        <f>'DASHBOARD GERAL'!$G$12</f>
        <v>10</v>
      </c>
      <c r="AC9" s="90">
        <f t="shared" si="2"/>
        <v>10</v>
      </c>
      <c r="AD9" s="84">
        <f t="shared" si="3"/>
        <v>107.89999999999999</v>
      </c>
      <c r="AF9" s="89" t="s">
        <v>58</v>
      </c>
      <c r="AG9" s="88" t="s">
        <v>38</v>
      </c>
      <c r="AH9" s="88">
        <f>CESTAS!G32</f>
        <v>1</v>
      </c>
      <c r="AI9" s="88" t="s">
        <v>39</v>
      </c>
      <c r="AJ9" s="94">
        <f>CESTAS!I32</f>
        <v>10.79</v>
      </c>
      <c r="AK9" s="94">
        <f>CESTAS!J32</f>
        <v>10.79</v>
      </c>
      <c r="AL9" s="90">
        <f>'DASHBOARD GERAL'!$L$12</f>
        <v>5</v>
      </c>
      <c r="AM9" s="90">
        <f t="shared" si="4"/>
        <v>5</v>
      </c>
      <c r="AN9" s="84">
        <f t="shared" si="5"/>
        <v>53.949999999999996</v>
      </c>
      <c r="AP9" s="92" t="str">
        <f>[1]CESTAS!E37</f>
        <v>Cesta 1/2</v>
      </c>
      <c r="AQ9" s="91" t="str">
        <f>[1]CESTAS!F46</f>
        <v>Óleo</v>
      </c>
      <c r="AR9" s="91">
        <f>CESTAS!G41</f>
        <v>0</v>
      </c>
      <c r="AS9" s="91" t="str">
        <f>CESTAS!H14</f>
        <v>unid</v>
      </c>
      <c r="AT9" s="84">
        <f>CESTAS!I14</f>
        <v>10.79</v>
      </c>
      <c r="AU9" s="84">
        <f t="shared" si="11"/>
        <v>0</v>
      </c>
      <c r="AV9" s="90">
        <f>'DASHBOARD GERAL'!$Q$12</f>
        <v>15</v>
      </c>
      <c r="AW9" s="90">
        <f t="shared" si="9"/>
        <v>0</v>
      </c>
      <c r="AX9" s="84">
        <f t="shared" si="6"/>
        <v>0</v>
      </c>
      <c r="AZ9" s="89" t="str">
        <f>CESTAS!E50</f>
        <v>Cesta 2/2</v>
      </c>
      <c r="BA9" s="88" t="str">
        <f>CESTAS!F50</f>
        <v>Óleo</v>
      </c>
      <c r="BB9" s="88">
        <f>CESTAS!G50</f>
        <v>0</v>
      </c>
      <c r="BC9" s="88" t="str">
        <f>CESTAS!H50</f>
        <v>unid</v>
      </c>
      <c r="BD9" s="87">
        <f>CESTAS!I50</f>
        <v>10.79</v>
      </c>
      <c r="BE9" s="87">
        <f t="shared" si="10"/>
        <v>0</v>
      </c>
      <c r="BF9" s="86">
        <f>'DASHBOARD GERAL'!$V$12</f>
        <v>0</v>
      </c>
      <c r="BG9" s="85">
        <f t="shared" si="7"/>
        <v>0</v>
      </c>
      <c r="BH9" s="84">
        <f t="shared" si="8"/>
        <v>0</v>
      </c>
    </row>
    <row r="10" spans="1:60" ht="15.75" x14ac:dyDescent="0.25">
      <c r="A10" s="86" t="str">
        <f>'[1]MONTAGEM DE CESTA'!B28</f>
        <v>Sal</v>
      </c>
      <c r="B10" s="190">
        <f>'MONTAGEM CESTA'!D32</f>
        <v>0</v>
      </c>
      <c r="L10" s="92" t="s">
        <v>56</v>
      </c>
      <c r="M10" s="91" t="str">
        <f>CESTAS!F15</f>
        <v>Sal</v>
      </c>
      <c r="N10" s="91">
        <f>CESTAS!G15</f>
        <v>0.5</v>
      </c>
      <c r="O10" s="91" t="s">
        <v>32</v>
      </c>
      <c r="P10" s="84">
        <f>[1]CESTAS!I11</f>
        <v>0.9</v>
      </c>
      <c r="Q10" s="84">
        <f>CESTAS!J15</f>
        <v>0.45</v>
      </c>
      <c r="R10" s="90">
        <f>'DASHBOARD GERAL'!$B$12</f>
        <v>15</v>
      </c>
      <c r="S10" s="90">
        <f t="shared" si="0"/>
        <v>7.5</v>
      </c>
      <c r="T10" s="84">
        <f t="shared" si="1"/>
        <v>6.75</v>
      </c>
      <c r="V10" s="89" t="s">
        <v>57</v>
      </c>
      <c r="W10" s="88" t="s">
        <v>40</v>
      </c>
      <c r="X10" s="88">
        <f>CESTAS!G24</f>
        <v>0.5</v>
      </c>
      <c r="Y10" s="88" t="s">
        <v>32</v>
      </c>
      <c r="Z10" s="94">
        <f>CESTAS!I24</f>
        <v>0.9</v>
      </c>
      <c r="AA10" s="94">
        <f>CESTAS!J24</f>
        <v>0.45</v>
      </c>
      <c r="AB10" s="105">
        <f>'DASHBOARD GERAL'!$G$12</f>
        <v>10</v>
      </c>
      <c r="AC10" s="90">
        <f t="shared" si="2"/>
        <v>5</v>
      </c>
      <c r="AD10" s="84">
        <f t="shared" si="3"/>
        <v>4.5</v>
      </c>
      <c r="AF10" s="89" t="s">
        <v>58</v>
      </c>
      <c r="AG10" s="88" t="s">
        <v>40</v>
      </c>
      <c r="AH10" s="88">
        <f>CESTAS!G33</f>
        <v>1</v>
      </c>
      <c r="AI10" s="88" t="s">
        <v>32</v>
      </c>
      <c r="AJ10" s="94">
        <f>CESTAS!I33</f>
        <v>0.9</v>
      </c>
      <c r="AK10" s="94">
        <f>CESTAS!J33</f>
        <v>0.9</v>
      </c>
      <c r="AL10" s="90">
        <f>'DASHBOARD GERAL'!$L$12</f>
        <v>5</v>
      </c>
      <c r="AM10" s="90">
        <f t="shared" si="4"/>
        <v>5</v>
      </c>
      <c r="AN10" s="84">
        <f t="shared" si="5"/>
        <v>4.5</v>
      </c>
      <c r="AP10" s="92" t="str">
        <f>[1]CESTAS!E38</f>
        <v>Cesta 1/2</v>
      </c>
      <c r="AQ10" s="91" t="str">
        <f>[1]CESTAS!F47</f>
        <v>Sal</v>
      </c>
      <c r="AR10" s="91">
        <f>CESTAS!G42</f>
        <v>0.5</v>
      </c>
      <c r="AS10" s="91" t="str">
        <f>CESTAS!H15</f>
        <v>kg</v>
      </c>
      <c r="AT10" s="84">
        <f>CESTAS!I15</f>
        <v>0.9</v>
      </c>
      <c r="AU10" s="84">
        <f t="shared" si="11"/>
        <v>0.45</v>
      </c>
      <c r="AV10" s="90">
        <f>'DASHBOARD GERAL'!$Q$12</f>
        <v>15</v>
      </c>
      <c r="AW10" s="90">
        <f t="shared" si="9"/>
        <v>7.5</v>
      </c>
      <c r="AX10" s="84">
        <f t="shared" si="6"/>
        <v>6.75</v>
      </c>
      <c r="AZ10" s="89" t="str">
        <f>CESTAS!E51</f>
        <v>Cesta 2/2</v>
      </c>
      <c r="BA10" s="88" t="str">
        <f>CESTAS!F51</f>
        <v>Sal</v>
      </c>
      <c r="BB10" s="88">
        <f>CESTAS!G51</f>
        <v>0.5</v>
      </c>
      <c r="BC10" s="88" t="str">
        <f>CESTAS!H51</f>
        <v>kg</v>
      </c>
      <c r="BD10" s="87">
        <f>CESTAS!I51</f>
        <v>0.9</v>
      </c>
      <c r="BE10" s="87">
        <f t="shared" si="10"/>
        <v>0.45</v>
      </c>
      <c r="BF10" s="86">
        <f>'DASHBOARD GERAL'!$V$12</f>
        <v>0</v>
      </c>
      <c r="BG10" s="85">
        <f t="shared" si="7"/>
        <v>0</v>
      </c>
      <c r="BH10" s="84">
        <f t="shared" si="8"/>
        <v>0</v>
      </c>
    </row>
    <row r="11" spans="1:60" ht="15.75" x14ac:dyDescent="0.25">
      <c r="A11" s="86" t="str">
        <f>'[1]MONTAGEM DE CESTA'!B29</f>
        <v>Sabão</v>
      </c>
      <c r="B11" s="190">
        <f>'MONTAGEM CESTA'!D33</f>
        <v>0</v>
      </c>
      <c r="L11" s="92" t="s">
        <v>56</v>
      </c>
      <c r="M11" s="91" t="str">
        <f>CESTAS!F16</f>
        <v>Sabão</v>
      </c>
      <c r="N11" s="91">
        <f>CESTAS!G16</f>
        <v>1</v>
      </c>
      <c r="O11" s="91" t="s">
        <v>39</v>
      </c>
      <c r="P11" s="84">
        <f>[1]CESTAS!I12</f>
        <v>1.04</v>
      </c>
      <c r="Q11" s="84">
        <f>CESTAS!J16</f>
        <v>1.04</v>
      </c>
      <c r="R11" s="90">
        <f>'DASHBOARD GERAL'!$B$12</f>
        <v>15</v>
      </c>
      <c r="S11" s="90">
        <f t="shared" si="0"/>
        <v>15</v>
      </c>
      <c r="T11" s="84">
        <f t="shared" si="1"/>
        <v>15.600000000000001</v>
      </c>
      <c r="V11" s="89" t="s">
        <v>57</v>
      </c>
      <c r="W11" s="88" t="s">
        <v>41</v>
      </c>
      <c r="X11" s="88">
        <f>CESTAS!G25</f>
        <v>1</v>
      </c>
      <c r="Y11" s="88" t="s">
        <v>39</v>
      </c>
      <c r="Z11" s="94">
        <f>CESTAS!I25</f>
        <v>1.04</v>
      </c>
      <c r="AA11" s="94">
        <f>CESTAS!J25</f>
        <v>1.04</v>
      </c>
      <c r="AB11" s="105">
        <f>'DASHBOARD GERAL'!$G$12</f>
        <v>10</v>
      </c>
      <c r="AC11" s="90">
        <f t="shared" si="2"/>
        <v>10</v>
      </c>
      <c r="AD11" s="84">
        <f t="shared" si="3"/>
        <v>10.4</v>
      </c>
      <c r="AF11" s="89" t="s">
        <v>58</v>
      </c>
      <c r="AG11" s="88" t="s">
        <v>41</v>
      </c>
      <c r="AH11" s="88">
        <f>CESTAS!G34</f>
        <v>2</v>
      </c>
      <c r="AI11" s="88" t="s">
        <v>39</v>
      </c>
      <c r="AJ11" s="94">
        <f>CESTAS!I34</f>
        <v>1.04</v>
      </c>
      <c r="AK11" s="94">
        <f>CESTAS!J34</f>
        <v>2.08</v>
      </c>
      <c r="AL11" s="90">
        <f>'DASHBOARD GERAL'!$L$12</f>
        <v>5</v>
      </c>
      <c r="AM11" s="90">
        <f t="shared" si="4"/>
        <v>10</v>
      </c>
      <c r="AN11" s="84">
        <f t="shared" si="5"/>
        <v>10.4</v>
      </c>
      <c r="AP11" s="92" t="str">
        <f>[1]CESTAS!E39</f>
        <v>Cesta 1/2</v>
      </c>
      <c r="AQ11" s="91" t="str">
        <f>[1]CESTAS!F48</f>
        <v>Sabão</v>
      </c>
      <c r="AR11" s="91">
        <f>CESTAS!G43</f>
        <v>1</v>
      </c>
      <c r="AS11" s="91" t="str">
        <f>CESTAS!H16</f>
        <v>unid</v>
      </c>
      <c r="AT11" s="84">
        <f>CESTAS!I16</f>
        <v>1.04</v>
      </c>
      <c r="AU11" s="84">
        <f t="shared" si="11"/>
        <v>1.04</v>
      </c>
      <c r="AV11" s="90">
        <f>'DASHBOARD GERAL'!$Q$12</f>
        <v>15</v>
      </c>
      <c r="AW11" s="90">
        <f t="shared" si="9"/>
        <v>15</v>
      </c>
      <c r="AX11" s="84">
        <f t="shared" si="6"/>
        <v>15.600000000000001</v>
      </c>
      <c r="AZ11" s="89" t="str">
        <f>CESTAS!E52</f>
        <v>Cesta 2/2</v>
      </c>
      <c r="BA11" s="88" t="str">
        <f>CESTAS!F52</f>
        <v>Sabão</v>
      </c>
      <c r="BB11" s="88">
        <f>CESTAS!G52</f>
        <v>1</v>
      </c>
      <c r="BC11" s="88" t="str">
        <f>CESTAS!H52</f>
        <v>unid</v>
      </c>
      <c r="BD11" s="87">
        <f>CESTAS!I52</f>
        <v>1.04</v>
      </c>
      <c r="BE11" s="87">
        <f t="shared" si="10"/>
        <v>1.04</v>
      </c>
      <c r="BF11" s="86">
        <f>'DASHBOARD GERAL'!$V$12</f>
        <v>0</v>
      </c>
      <c r="BG11" s="85">
        <f t="shared" si="7"/>
        <v>0</v>
      </c>
      <c r="BH11" s="84">
        <f t="shared" si="8"/>
        <v>0</v>
      </c>
    </row>
    <row r="12" spans="1:60" ht="15.75" x14ac:dyDescent="0.25">
      <c r="A12" s="118"/>
      <c r="B12" s="29"/>
      <c r="L12" s="117"/>
      <c r="M12" s="116"/>
      <c r="N12" s="116"/>
      <c r="O12" s="116"/>
      <c r="P12" s="110"/>
      <c r="Q12" s="110"/>
      <c r="R12" s="111"/>
      <c r="S12" s="111"/>
      <c r="T12" s="110"/>
      <c r="V12" s="114"/>
      <c r="W12" s="113"/>
      <c r="X12" s="113"/>
      <c r="Y12" s="113"/>
      <c r="Z12" s="112"/>
      <c r="AA12" s="112"/>
      <c r="AB12" s="115"/>
      <c r="AC12" s="111"/>
      <c r="AD12" s="110"/>
      <c r="AF12" s="114"/>
      <c r="AG12" s="113"/>
      <c r="AH12" s="113"/>
      <c r="AI12" s="113"/>
      <c r="AJ12" s="112"/>
      <c r="AK12" s="112"/>
      <c r="AL12" s="111"/>
      <c r="AM12" s="111"/>
      <c r="AN12" s="110"/>
    </row>
    <row r="13" spans="1:60" ht="15.75" x14ac:dyDescent="0.25">
      <c r="L13" s="117"/>
      <c r="M13" s="116"/>
      <c r="N13" s="116"/>
      <c r="O13" s="116"/>
      <c r="P13" s="110"/>
      <c r="Q13" s="110"/>
      <c r="R13" s="111"/>
      <c r="S13" s="111"/>
      <c r="T13" s="110"/>
      <c r="V13" s="114"/>
      <c r="W13" s="113"/>
      <c r="X13" s="113"/>
      <c r="Y13" s="113"/>
      <c r="Z13" s="112"/>
      <c r="AA13" s="112"/>
      <c r="AB13" s="115"/>
      <c r="AC13" s="111"/>
      <c r="AD13" s="110"/>
      <c r="AF13" s="114"/>
      <c r="AG13" s="113"/>
      <c r="AH13" s="113"/>
      <c r="AI13" s="113"/>
      <c r="AJ13" s="112"/>
      <c r="AK13" s="112"/>
      <c r="AL13" s="111"/>
      <c r="AM13" s="111"/>
      <c r="AN13" s="110"/>
    </row>
    <row r="16" spans="1:60" x14ac:dyDescent="0.25">
      <c r="L16" s="427" t="s">
        <v>118</v>
      </c>
      <c r="M16" s="428"/>
      <c r="N16" s="428"/>
      <c r="O16" s="428"/>
      <c r="P16" s="428"/>
      <c r="Q16" s="428"/>
      <c r="R16" s="428"/>
      <c r="S16" s="429"/>
      <c r="T16" s="109">
        <f>SUM(T18:T26)</f>
        <v>0</v>
      </c>
      <c r="V16" s="430" t="s">
        <v>117</v>
      </c>
      <c r="W16" s="430"/>
      <c r="X16" s="430"/>
      <c r="Y16" s="430"/>
      <c r="Z16" s="430"/>
      <c r="AA16" s="430"/>
      <c r="AB16" s="430"/>
      <c r="AC16" s="430"/>
      <c r="AD16" s="108">
        <f>SUM(AD18:AD26)</f>
        <v>0</v>
      </c>
      <c r="AF16" s="430" t="s">
        <v>116</v>
      </c>
      <c r="AG16" s="430"/>
      <c r="AH16" s="430"/>
      <c r="AI16" s="430"/>
      <c r="AJ16" s="430"/>
      <c r="AK16" s="430"/>
      <c r="AL16" s="430"/>
      <c r="AM16" s="430"/>
      <c r="AN16" s="108">
        <f>SUM(AN18:AN26)</f>
        <v>0</v>
      </c>
      <c r="AP16" s="421" t="s">
        <v>95</v>
      </c>
      <c r="AQ16" s="422"/>
      <c r="AR16" s="422"/>
      <c r="AS16" s="422"/>
      <c r="AT16" s="422"/>
      <c r="AU16" s="422"/>
      <c r="AV16" s="422"/>
      <c r="AW16" s="423"/>
      <c r="AX16" s="196">
        <f>SUM(AX18:AX26)</f>
        <v>0</v>
      </c>
      <c r="AY16" s="16"/>
      <c r="AZ16" s="424" t="s">
        <v>94</v>
      </c>
      <c r="BA16" s="424"/>
      <c r="BB16" s="424"/>
      <c r="BC16" s="424"/>
      <c r="BD16" s="424"/>
      <c r="BE16" s="424"/>
      <c r="BF16" s="424"/>
      <c r="BG16" s="424"/>
      <c r="BH16" s="228">
        <f>SUM(BH18:BH26)</f>
        <v>0</v>
      </c>
    </row>
    <row r="17" spans="1:60" ht="38.25" x14ac:dyDescent="0.25">
      <c r="A17" s="431" t="s">
        <v>115</v>
      </c>
      <c r="B17" s="431"/>
      <c r="L17" s="106" t="s">
        <v>93</v>
      </c>
      <c r="M17" s="107" t="s">
        <v>92</v>
      </c>
      <c r="N17" s="107" t="s">
        <v>91</v>
      </c>
      <c r="O17" s="106" t="s">
        <v>90</v>
      </c>
      <c r="P17" s="106" t="s">
        <v>89</v>
      </c>
      <c r="Q17" s="106" t="s">
        <v>88</v>
      </c>
      <c r="R17" s="106" t="s">
        <v>87</v>
      </c>
      <c r="S17" s="106" t="s">
        <v>86</v>
      </c>
      <c r="T17" s="106" t="s">
        <v>85</v>
      </c>
      <c r="V17" s="106" t="s">
        <v>93</v>
      </c>
      <c r="W17" s="107" t="s">
        <v>92</v>
      </c>
      <c r="X17" s="107" t="s">
        <v>91</v>
      </c>
      <c r="Y17" s="106" t="s">
        <v>90</v>
      </c>
      <c r="Z17" s="106" t="s">
        <v>89</v>
      </c>
      <c r="AA17" s="106" t="s">
        <v>88</v>
      </c>
      <c r="AB17" s="106" t="s">
        <v>87</v>
      </c>
      <c r="AC17" s="106" t="s">
        <v>86</v>
      </c>
      <c r="AD17" s="106" t="s">
        <v>85</v>
      </c>
      <c r="AF17" s="106" t="s">
        <v>93</v>
      </c>
      <c r="AG17" s="107" t="s">
        <v>92</v>
      </c>
      <c r="AH17" s="107" t="s">
        <v>91</v>
      </c>
      <c r="AI17" s="106" t="s">
        <v>90</v>
      </c>
      <c r="AJ17" s="106" t="s">
        <v>89</v>
      </c>
      <c r="AK17" s="106" t="s">
        <v>88</v>
      </c>
      <c r="AL17" s="106" t="s">
        <v>87</v>
      </c>
      <c r="AM17" s="106" t="s">
        <v>86</v>
      </c>
      <c r="AN17" s="106" t="s">
        <v>85</v>
      </c>
      <c r="AP17" s="197" t="s">
        <v>93</v>
      </c>
      <c r="AQ17" s="198" t="s">
        <v>92</v>
      </c>
      <c r="AR17" s="198" t="s">
        <v>91</v>
      </c>
      <c r="AS17" s="197" t="s">
        <v>90</v>
      </c>
      <c r="AT17" s="197" t="s">
        <v>89</v>
      </c>
      <c r="AU17" s="197" t="s">
        <v>88</v>
      </c>
      <c r="AV17" s="197" t="s">
        <v>87</v>
      </c>
      <c r="AW17" s="197" t="s">
        <v>86</v>
      </c>
      <c r="AX17" s="197" t="s">
        <v>85</v>
      </c>
      <c r="AY17" s="16"/>
      <c r="AZ17" s="197" t="s">
        <v>93</v>
      </c>
      <c r="BA17" s="198" t="s">
        <v>92</v>
      </c>
      <c r="BB17" s="198" t="s">
        <v>91</v>
      </c>
      <c r="BC17" s="197" t="s">
        <v>90</v>
      </c>
      <c r="BD17" s="197" t="s">
        <v>89</v>
      </c>
      <c r="BE17" s="197" t="s">
        <v>88</v>
      </c>
      <c r="BF17" s="197" t="s">
        <v>87</v>
      </c>
      <c r="BG17" s="197" t="s">
        <v>86</v>
      </c>
      <c r="BH17" s="197" t="s">
        <v>85</v>
      </c>
    </row>
    <row r="18" spans="1:60" ht="15.75" x14ac:dyDescent="0.25">
      <c r="A18" s="189" t="s">
        <v>114</v>
      </c>
      <c r="B18" s="189" t="s">
        <v>5</v>
      </c>
      <c r="L18" s="92" t="s">
        <v>56</v>
      </c>
      <c r="M18" s="91" t="str">
        <f>M3</f>
        <v>Arroz</v>
      </c>
      <c r="N18" s="91">
        <f>N3</f>
        <v>2.5</v>
      </c>
      <c r="O18" s="91" t="str">
        <f>O3</f>
        <v>kg</v>
      </c>
      <c r="P18" s="84">
        <f>P3</f>
        <v>3.31</v>
      </c>
      <c r="Q18" s="84">
        <f>Q3</f>
        <v>8.2750000000000004</v>
      </c>
      <c r="R18" s="90">
        <f>'MONTAGEM CESTA'!$B$12</f>
        <v>0</v>
      </c>
      <c r="S18" s="90">
        <f t="shared" ref="S18:S26" si="12">IF(N18&lt;&gt;"",N18*R18)</f>
        <v>0</v>
      </c>
      <c r="T18" s="84">
        <f t="shared" ref="T18:T26" si="13">IF(Q18&lt;&gt;"",Q18*R18)</f>
        <v>0</v>
      </c>
      <c r="V18" s="89" t="s">
        <v>57</v>
      </c>
      <c r="W18" s="88" t="str">
        <f>W3</f>
        <v>Arroz</v>
      </c>
      <c r="X18" s="88">
        <f>X3</f>
        <v>5</v>
      </c>
      <c r="Y18" s="88" t="str">
        <f>Y3</f>
        <v>kg</v>
      </c>
      <c r="Z18" s="87">
        <f>Z3</f>
        <v>3.31</v>
      </c>
      <c r="AA18" s="87">
        <f>AA3</f>
        <v>16.55</v>
      </c>
      <c r="AB18" s="105">
        <f>'MONTAGEM CESTA'!$C$12</f>
        <v>0</v>
      </c>
      <c r="AC18" s="90">
        <f t="shared" ref="AC18:AC26" si="14">IF(X18&lt;&gt;"",X18*AB18)</f>
        <v>0</v>
      </c>
      <c r="AD18" s="87">
        <f t="shared" ref="AD18:AD26" si="15">AA18*AB18</f>
        <v>0</v>
      </c>
      <c r="AF18" s="89" t="s">
        <v>58</v>
      </c>
      <c r="AG18" s="88" t="s">
        <v>31</v>
      </c>
      <c r="AH18" s="88">
        <f>AH3</f>
        <v>7.5</v>
      </c>
      <c r="AI18" s="88" t="s">
        <v>32</v>
      </c>
      <c r="AJ18" s="94">
        <f>AJ3</f>
        <v>3.31</v>
      </c>
      <c r="AK18" s="94">
        <f>AK3</f>
        <v>24.824999999999999</v>
      </c>
      <c r="AL18" s="90">
        <f>'MONTAGEM CESTA'!$D$12</f>
        <v>0</v>
      </c>
      <c r="AM18" s="90">
        <f t="shared" ref="AM18:AM26" si="16">IF(AH18&lt;&gt;"",AH3*AL18)</f>
        <v>0</v>
      </c>
      <c r="AN18" s="84">
        <f t="shared" ref="AN18:AN26" si="17">AK18*AL18</f>
        <v>0</v>
      </c>
      <c r="AP18" s="92" t="str">
        <f>CESTAS!E35</f>
        <v>Cesta 1/2</v>
      </c>
      <c r="AQ18" s="91" t="str">
        <f>CESTAS!F35</f>
        <v>Arroz</v>
      </c>
      <c r="AR18" s="91">
        <f>CESTAS!G35</f>
        <v>2.5</v>
      </c>
      <c r="AS18" s="91" t="str">
        <f>CESTAS!H35</f>
        <v>kg</v>
      </c>
      <c r="AT18" s="84">
        <f>CESTAS!I35</f>
        <v>3.31</v>
      </c>
      <c r="AU18" s="84">
        <f t="shared" ref="AU18:AU26" si="18">IF(AR18&lt;&gt;"",AR18*AT18)</f>
        <v>8.2750000000000004</v>
      </c>
      <c r="AV18" s="90">
        <f>'MONTAGEM CESTA'!$B$14</f>
        <v>0</v>
      </c>
      <c r="AW18" s="90">
        <f t="shared" ref="AW18:AW26" si="19">IF(AR18&lt;&gt;"",AR18*AV18)</f>
        <v>0</v>
      </c>
      <c r="AX18" s="84">
        <f t="shared" ref="AX18:AX26" si="20">IF(AU18&lt;&gt;"",AU18*AV18)</f>
        <v>0</v>
      </c>
      <c r="AZ18" s="89" t="str">
        <f>CESTAS!E44</f>
        <v>Cesta 2/2</v>
      </c>
      <c r="BA18" s="88" t="str">
        <f>CESTAS!F44</f>
        <v>Arroz</v>
      </c>
      <c r="BB18" s="88">
        <f>CESTAS!G44</f>
        <v>5</v>
      </c>
      <c r="BC18" s="88" t="str">
        <f>CESTAS!H44</f>
        <v>kg</v>
      </c>
      <c r="BD18" s="87">
        <f>CESTAS!I44</f>
        <v>3.31</v>
      </c>
      <c r="BE18" s="87">
        <f>IF(BB18&lt;&gt;"",BB18*BD18)</f>
        <v>16.55</v>
      </c>
      <c r="BF18" s="86">
        <f>'MONTAGEM CESTA'!$C$14</f>
        <v>0</v>
      </c>
      <c r="BG18" s="85">
        <f t="shared" ref="BG18:BG26" si="21">BF18*BB18</f>
        <v>0</v>
      </c>
      <c r="BH18" s="84">
        <f t="shared" ref="BH18:BH26" si="22">BF18*BE18</f>
        <v>0</v>
      </c>
    </row>
    <row r="19" spans="1:60" ht="15.75" x14ac:dyDescent="0.25">
      <c r="A19" s="93" t="s">
        <v>31</v>
      </c>
      <c r="B19" s="93">
        <v>6300</v>
      </c>
      <c r="L19" s="92" t="s">
        <v>56</v>
      </c>
      <c r="M19" s="91" t="str">
        <f t="shared" ref="M19:N26" si="23">M4</f>
        <v>Feijão</v>
      </c>
      <c r="N19" s="91">
        <f t="shared" si="23"/>
        <v>1</v>
      </c>
      <c r="O19" s="91" t="str">
        <f t="shared" ref="O19:P26" si="24">O4</f>
        <v>kg</v>
      </c>
      <c r="P19" s="84">
        <f t="shared" si="24"/>
        <v>8.48</v>
      </c>
      <c r="Q19" s="84">
        <f t="shared" ref="Q19:Q26" si="25">Q4</f>
        <v>8.48</v>
      </c>
      <c r="R19" s="90">
        <f>'MONTAGEM CESTA'!$B$12</f>
        <v>0</v>
      </c>
      <c r="S19" s="90">
        <f t="shared" si="12"/>
        <v>0</v>
      </c>
      <c r="T19" s="84">
        <f t="shared" si="13"/>
        <v>0</v>
      </c>
      <c r="V19" s="89" t="s">
        <v>57</v>
      </c>
      <c r="W19" s="88" t="str">
        <f t="shared" ref="W19:Y26" si="26">W4</f>
        <v>Feijão</v>
      </c>
      <c r="X19" s="88">
        <f t="shared" si="26"/>
        <v>2</v>
      </c>
      <c r="Y19" s="88" t="str">
        <f t="shared" si="26"/>
        <v>kg</v>
      </c>
      <c r="Z19" s="87">
        <f t="shared" ref="Z19:AA26" si="27">Z4</f>
        <v>8.48</v>
      </c>
      <c r="AA19" s="87">
        <f t="shared" si="27"/>
        <v>16.96</v>
      </c>
      <c r="AB19" s="105">
        <f>'MONTAGEM CESTA'!$C$12</f>
        <v>0</v>
      </c>
      <c r="AC19" s="90">
        <f t="shared" si="14"/>
        <v>0</v>
      </c>
      <c r="AD19" s="87">
        <f t="shared" si="15"/>
        <v>0</v>
      </c>
      <c r="AF19" s="89" t="s">
        <v>58</v>
      </c>
      <c r="AG19" s="88" t="s">
        <v>33</v>
      </c>
      <c r="AH19" s="88">
        <f t="shared" ref="AH19:AH26" si="28">AH4</f>
        <v>3</v>
      </c>
      <c r="AI19" s="88" t="s">
        <v>32</v>
      </c>
      <c r="AJ19" s="94">
        <f t="shared" ref="AJ19:AK26" si="29">AJ4</f>
        <v>8.48</v>
      </c>
      <c r="AK19" s="94">
        <f t="shared" si="29"/>
        <v>25.44</v>
      </c>
      <c r="AL19" s="90">
        <f>'MONTAGEM CESTA'!$D$12</f>
        <v>0</v>
      </c>
      <c r="AM19" s="90">
        <f t="shared" si="16"/>
        <v>0</v>
      </c>
      <c r="AN19" s="84">
        <f t="shared" si="17"/>
        <v>0</v>
      </c>
      <c r="AP19" s="92" t="str">
        <f>CESTAS!E36</f>
        <v>Cesta 1/2</v>
      </c>
      <c r="AQ19" s="91" t="str">
        <f>CESTAS!F36</f>
        <v>Feijão</v>
      </c>
      <c r="AR19" s="91">
        <f>CESTAS!G36</f>
        <v>1</v>
      </c>
      <c r="AS19" s="91" t="str">
        <f>CESTAS!H36</f>
        <v>kg</v>
      </c>
      <c r="AT19" s="84">
        <f>CESTAS!I36</f>
        <v>8.48</v>
      </c>
      <c r="AU19" s="84">
        <f t="shared" si="18"/>
        <v>8.48</v>
      </c>
      <c r="AV19" s="90">
        <f>'MONTAGEM CESTA'!$B$14</f>
        <v>0</v>
      </c>
      <c r="AW19" s="90">
        <f t="shared" si="19"/>
        <v>0</v>
      </c>
      <c r="AX19" s="84">
        <f t="shared" si="20"/>
        <v>0</v>
      </c>
      <c r="AZ19" s="89" t="str">
        <f>CESTAS!E45</f>
        <v>Cesta 2/2</v>
      </c>
      <c r="BA19" s="88" t="str">
        <f>CESTAS!F45</f>
        <v>Feijão</v>
      </c>
      <c r="BB19" s="88">
        <f>CESTAS!G45</f>
        <v>2</v>
      </c>
      <c r="BC19" s="88" t="str">
        <f>CESTAS!H45</f>
        <v>kg</v>
      </c>
      <c r="BD19" s="87">
        <f>CESTAS!I45</f>
        <v>8.48</v>
      </c>
      <c r="BE19" s="87">
        <f t="shared" ref="BE19:BE26" si="30">IF(BB19&lt;&gt;"",BB19*BD19)</f>
        <v>16.96</v>
      </c>
      <c r="BF19" s="86">
        <f>'MONTAGEM CESTA'!$C$14</f>
        <v>0</v>
      </c>
      <c r="BG19" s="85">
        <f t="shared" si="21"/>
        <v>0</v>
      </c>
      <c r="BH19" s="84">
        <f t="shared" si="22"/>
        <v>0</v>
      </c>
    </row>
    <row r="20" spans="1:60" ht="15.75" x14ac:dyDescent="0.25">
      <c r="A20" s="93" t="s">
        <v>33</v>
      </c>
      <c r="B20" s="93">
        <v>2500</v>
      </c>
      <c r="L20" s="92" t="s">
        <v>56</v>
      </c>
      <c r="M20" s="91" t="str">
        <f t="shared" si="23"/>
        <v>Fubá</v>
      </c>
      <c r="N20" s="91">
        <f t="shared" si="23"/>
        <v>1</v>
      </c>
      <c r="O20" s="91" t="str">
        <f t="shared" si="24"/>
        <v>kg</v>
      </c>
      <c r="P20" s="84">
        <f t="shared" si="24"/>
        <v>2.85</v>
      </c>
      <c r="Q20" s="84">
        <f t="shared" si="25"/>
        <v>2.85</v>
      </c>
      <c r="R20" s="90">
        <f>'MONTAGEM CESTA'!$B$12</f>
        <v>0</v>
      </c>
      <c r="S20" s="90">
        <f t="shared" si="12"/>
        <v>0</v>
      </c>
      <c r="T20" s="84">
        <f t="shared" si="13"/>
        <v>0</v>
      </c>
      <c r="V20" s="89" t="s">
        <v>57</v>
      </c>
      <c r="W20" s="88" t="str">
        <f t="shared" si="26"/>
        <v>Fubá</v>
      </c>
      <c r="X20" s="88">
        <f t="shared" si="26"/>
        <v>1</v>
      </c>
      <c r="Y20" s="88" t="str">
        <f t="shared" si="26"/>
        <v>kg</v>
      </c>
      <c r="Z20" s="87">
        <f t="shared" si="27"/>
        <v>2.85</v>
      </c>
      <c r="AA20" s="87">
        <f t="shared" si="27"/>
        <v>2.85</v>
      </c>
      <c r="AB20" s="105">
        <f>'MONTAGEM CESTA'!$C$12</f>
        <v>0</v>
      </c>
      <c r="AC20" s="90">
        <f t="shared" si="14"/>
        <v>0</v>
      </c>
      <c r="AD20" s="87">
        <f t="shared" si="15"/>
        <v>0</v>
      </c>
      <c r="AF20" s="89" t="s">
        <v>58</v>
      </c>
      <c r="AG20" s="88" t="s">
        <v>34</v>
      </c>
      <c r="AH20" s="88">
        <f t="shared" si="28"/>
        <v>2</v>
      </c>
      <c r="AI20" s="88" t="s">
        <v>32</v>
      </c>
      <c r="AJ20" s="94">
        <f t="shared" si="29"/>
        <v>2.85</v>
      </c>
      <c r="AK20" s="94">
        <f t="shared" si="29"/>
        <v>5.7</v>
      </c>
      <c r="AL20" s="90">
        <f>'MONTAGEM CESTA'!$D$12</f>
        <v>0</v>
      </c>
      <c r="AM20" s="90">
        <f t="shared" si="16"/>
        <v>0</v>
      </c>
      <c r="AN20" s="84">
        <f t="shared" si="17"/>
        <v>0</v>
      </c>
      <c r="AP20" s="92" t="str">
        <f>CESTAS!E37</f>
        <v>Cesta 1/2</v>
      </c>
      <c r="AQ20" s="91" t="str">
        <f>CESTAS!F37</f>
        <v>Fubá</v>
      </c>
      <c r="AR20" s="91">
        <f>CESTAS!G37</f>
        <v>1</v>
      </c>
      <c r="AS20" s="91" t="str">
        <f>CESTAS!H37</f>
        <v>kg</v>
      </c>
      <c r="AT20" s="84">
        <f>CESTAS!I37</f>
        <v>2.85</v>
      </c>
      <c r="AU20" s="84">
        <f t="shared" si="18"/>
        <v>2.85</v>
      </c>
      <c r="AV20" s="90">
        <f>'MONTAGEM CESTA'!$B$14</f>
        <v>0</v>
      </c>
      <c r="AW20" s="90">
        <f t="shared" si="19"/>
        <v>0</v>
      </c>
      <c r="AX20" s="84">
        <f t="shared" si="20"/>
        <v>0</v>
      </c>
      <c r="AZ20" s="89" t="str">
        <f>CESTAS!E46</f>
        <v>Cesta 2/2</v>
      </c>
      <c r="BA20" s="88" t="str">
        <f>CESTAS!F46</f>
        <v>Fubá</v>
      </c>
      <c r="BB20" s="88">
        <f>CESTAS!G46</f>
        <v>1</v>
      </c>
      <c r="BC20" s="88" t="str">
        <f>CESTAS!H46</f>
        <v>kg</v>
      </c>
      <c r="BD20" s="87">
        <f>CESTAS!I46</f>
        <v>2.85</v>
      </c>
      <c r="BE20" s="87">
        <f t="shared" si="30"/>
        <v>2.85</v>
      </c>
      <c r="BF20" s="86">
        <f>'MONTAGEM CESTA'!$C$14</f>
        <v>0</v>
      </c>
      <c r="BG20" s="85">
        <f t="shared" si="21"/>
        <v>0</v>
      </c>
      <c r="BH20" s="84">
        <f t="shared" si="22"/>
        <v>0</v>
      </c>
    </row>
    <row r="21" spans="1:60" ht="15.75" x14ac:dyDescent="0.25">
      <c r="A21" s="93" t="s">
        <v>34</v>
      </c>
      <c r="B21" s="93">
        <v>1600</v>
      </c>
      <c r="L21" s="92" t="s">
        <v>56</v>
      </c>
      <c r="M21" s="91" t="str">
        <f t="shared" si="23"/>
        <v>Açúcar</v>
      </c>
      <c r="N21" s="91">
        <f t="shared" si="23"/>
        <v>1</v>
      </c>
      <c r="O21" s="91" t="str">
        <f t="shared" si="24"/>
        <v>kg</v>
      </c>
      <c r="P21" s="84">
        <f t="shared" si="24"/>
        <v>3.43</v>
      </c>
      <c r="Q21" s="84">
        <f t="shared" si="25"/>
        <v>3.43</v>
      </c>
      <c r="R21" s="90">
        <f>'MONTAGEM CESTA'!$B$12</f>
        <v>0</v>
      </c>
      <c r="S21" s="90">
        <f t="shared" si="12"/>
        <v>0</v>
      </c>
      <c r="T21" s="84">
        <f t="shared" si="13"/>
        <v>0</v>
      </c>
      <c r="V21" s="89" t="s">
        <v>57</v>
      </c>
      <c r="W21" s="88" t="str">
        <f t="shared" si="26"/>
        <v>Açucar</v>
      </c>
      <c r="X21" s="88">
        <f t="shared" si="26"/>
        <v>1.5</v>
      </c>
      <c r="Y21" s="88" t="str">
        <f t="shared" si="26"/>
        <v>kg</v>
      </c>
      <c r="Z21" s="87">
        <f t="shared" si="27"/>
        <v>3.43</v>
      </c>
      <c r="AA21" s="87">
        <f t="shared" si="27"/>
        <v>5.1450000000000005</v>
      </c>
      <c r="AB21" s="105">
        <f>'MONTAGEM CESTA'!$C$12</f>
        <v>0</v>
      </c>
      <c r="AC21" s="90">
        <f t="shared" si="14"/>
        <v>0</v>
      </c>
      <c r="AD21" s="87">
        <f t="shared" si="15"/>
        <v>0</v>
      </c>
      <c r="AF21" s="89" t="s">
        <v>58</v>
      </c>
      <c r="AG21" s="88" t="s">
        <v>113</v>
      </c>
      <c r="AH21" s="88">
        <f t="shared" si="28"/>
        <v>2</v>
      </c>
      <c r="AI21" s="88" t="s">
        <v>32</v>
      </c>
      <c r="AJ21" s="94">
        <f t="shared" si="29"/>
        <v>3.43</v>
      </c>
      <c r="AK21" s="94">
        <f t="shared" si="29"/>
        <v>6.86</v>
      </c>
      <c r="AL21" s="90">
        <f>'MONTAGEM CESTA'!$D$12</f>
        <v>0</v>
      </c>
      <c r="AM21" s="90">
        <f t="shared" si="16"/>
        <v>0</v>
      </c>
      <c r="AN21" s="84">
        <f t="shared" si="17"/>
        <v>0</v>
      </c>
      <c r="AP21" s="92" t="str">
        <f>CESTAS!E38</f>
        <v>Cesta 1/2</v>
      </c>
      <c r="AQ21" s="91" t="str">
        <f>CESTAS!F38</f>
        <v>Açúcar</v>
      </c>
      <c r="AR21" s="91">
        <f>CESTAS!G38</f>
        <v>1</v>
      </c>
      <c r="AS21" s="91" t="str">
        <f>CESTAS!H38</f>
        <v>kg</v>
      </c>
      <c r="AT21" s="84">
        <f>CESTAS!I38</f>
        <v>3.43</v>
      </c>
      <c r="AU21" s="84">
        <f t="shared" si="18"/>
        <v>3.43</v>
      </c>
      <c r="AV21" s="90">
        <f>'MONTAGEM CESTA'!$B$14</f>
        <v>0</v>
      </c>
      <c r="AW21" s="90">
        <f t="shared" si="19"/>
        <v>0</v>
      </c>
      <c r="AX21" s="84">
        <f t="shared" si="20"/>
        <v>0</v>
      </c>
      <c r="AZ21" s="89" t="str">
        <f>CESTAS!E47</f>
        <v>Cesta 2/2</v>
      </c>
      <c r="BA21" s="88" t="str">
        <f>CESTAS!F47</f>
        <v>Açúcar</v>
      </c>
      <c r="BB21" s="88">
        <f>CESTAS!G47</f>
        <v>1.5</v>
      </c>
      <c r="BC21" s="88" t="str">
        <f>CESTAS!H47</f>
        <v>kg</v>
      </c>
      <c r="BD21" s="87">
        <f>CESTAS!I47</f>
        <v>3.43</v>
      </c>
      <c r="BE21" s="87">
        <f t="shared" si="30"/>
        <v>5.1450000000000005</v>
      </c>
      <c r="BF21" s="86">
        <f>'MONTAGEM CESTA'!$C$14</f>
        <v>0</v>
      </c>
      <c r="BG21" s="85">
        <f t="shared" si="21"/>
        <v>0</v>
      </c>
      <c r="BH21" s="84">
        <f t="shared" si="22"/>
        <v>0</v>
      </c>
    </row>
    <row r="22" spans="1:60" ht="15.75" x14ac:dyDescent="0.25">
      <c r="A22" s="93" t="s">
        <v>35</v>
      </c>
      <c r="B22" s="93">
        <v>1900</v>
      </c>
      <c r="L22" s="92" t="s">
        <v>56</v>
      </c>
      <c r="M22" s="91" t="str">
        <f t="shared" si="23"/>
        <v>Espaguete</v>
      </c>
      <c r="N22" s="91">
        <f t="shared" si="23"/>
        <v>1.5</v>
      </c>
      <c r="O22" s="91" t="str">
        <f t="shared" si="24"/>
        <v>kg</v>
      </c>
      <c r="P22" s="84">
        <f t="shared" si="24"/>
        <v>4.4400000000000004</v>
      </c>
      <c r="Q22" s="84">
        <f t="shared" si="25"/>
        <v>6.66</v>
      </c>
      <c r="R22" s="90">
        <f>'MONTAGEM CESTA'!$B$12</f>
        <v>0</v>
      </c>
      <c r="S22" s="90">
        <f t="shared" si="12"/>
        <v>0</v>
      </c>
      <c r="T22" s="84">
        <f t="shared" si="13"/>
        <v>0</v>
      </c>
      <c r="V22" s="89" t="s">
        <v>57</v>
      </c>
      <c r="W22" s="88" t="str">
        <f t="shared" si="26"/>
        <v>Espaguete</v>
      </c>
      <c r="X22" s="88">
        <f t="shared" si="26"/>
        <v>2</v>
      </c>
      <c r="Y22" s="88" t="str">
        <f t="shared" si="26"/>
        <v>kg</v>
      </c>
      <c r="Z22" s="87">
        <f t="shared" si="27"/>
        <v>4.4400000000000004</v>
      </c>
      <c r="AA22" s="87">
        <f t="shared" si="27"/>
        <v>8.8800000000000008</v>
      </c>
      <c r="AB22" s="105">
        <f>'MONTAGEM CESTA'!$C$12</f>
        <v>0</v>
      </c>
      <c r="AC22" s="90">
        <f t="shared" si="14"/>
        <v>0</v>
      </c>
      <c r="AD22" s="87">
        <f t="shared" si="15"/>
        <v>0</v>
      </c>
      <c r="AF22" s="89" t="s">
        <v>58</v>
      </c>
      <c r="AG22" s="88" t="s">
        <v>36</v>
      </c>
      <c r="AH22" s="88">
        <f t="shared" si="28"/>
        <v>3</v>
      </c>
      <c r="AI22" s="88" t="s">
        <v>32</v>
      </c>
      <c r="AJ22" s="94">
        <f t="shared" si="29"/>
        <v>4.4400000000000004</v>
      </c>
      <c r="AK22" s="94">
        <f t="shared" si="29"/>
        <v>13.32</v>
      </c>
      <c r="AL22" s="90">
        <f>'MONTAGEM CESTA'!$D$12</f>
        <v>0</v>
      </c>
      <c r="AM22" s="90">
        <f t="shared" si="16"/>
        <v>0</v>
      </c>
      <c r="AN22" s="84">
        <f t="shared" si="17"/>
        <v>0</v>
      </c>
      <c r="AP22" s="92" t="str">
        <f>CESTAS!E39</f>
        <v>Cesta 1/2</v>
      </c>
      <c r="AQ22" s="91" t="str">
        <f>CESTAS!F39</f>
        <v>Espaguete</v>
      </c>
      <c r="AR22" s="91">
        <f>CESTAS!G39</f>
        <v>1.5</v>
      </c>
      <c r="AS22" s="91" t="str">
        <f>CESTAS!H39</f>
        <v>kg</v>
      </c>
      <c r="AT22" s="84">
        <f>CESTAS!I39</f>
        <v>4.4400000000000004</v>
      </c>
      <c r="AU22" s="84">
        <f t="shared" si="18"/>
        <v>6.66</v>
      </c>
      <c r="AV22" s="90">
        <f>'MONTAGEM CESTA'!$B$14</f>
        <v>0</v>
      </c>
      <c r="AW22" s="90">
        <f t="shared" si="19"/>
        <v>0</v>
      </c>
      <c r="AX22" s="84">
        <f t="shared" si="20"/>
        <v>0</v>
      </c>
      <c r="AZ22" s="89" t="str">
        <f>CESTAS!E48</f>
        <v>Cesta 2/2</v>
      </c>
      <c r="BA22" s="88" t="str">
        <f>CESTAS!F48</f>
        <v>Espaguete</v>
      </c>
      <c r="BB22" s="88">
        <f>CESTAS!G48</f>
        <v>2</v>
      </c>
      <c r="BC22" s="88" t="str">
        <f>CESTAS!H48</f>
        <v>kg</v>
      </c>
      <c r="BD22" s="87">
        <f>CESTAS!I48</f>
        <v>4.4400000000000004</v>
      </c>
      <c r="BE22" s="87">
        <f t="shared" si="30"/>
        <v>8.8800000000000008</v>
      </c>
      <c r="BF22" s="86">
        <f>'MONTAGEM CESTA'!$C$14</f>
        <v>0</v>
      </c>
      <c r="BG22" s="85">
        <f t="shared" si="21"/>
        <v>0</v>
      </c>
      <c r="BH22" s="84">
        <f t="shared" si="22"/>
        <v>0</v>
      </c>
    </row>
    <row r="23" spans="1:60" ht="15.75" x14ac:dyDescent="0.25">
      <c r="A23" s="93" t="s">
        <v>36</v>
      </c>
      <c r="B23" s="93">
        <v>2700</v>
      </c>
      <c r="L23" s="92" t="s">
        <v>56</v>
      </c>
      <c r="M23" s="91" t="str">
        <f t="shared" si="23"/>
        <v>Café</v>
      </c>
      <c r="N23" s="91">
        <f t="shared" si="23"/>
        <v>0.25</v>
      </c>
      <c r="O23" s="91" t="str">
        <f t="shared" si="24"/>
        <v>kg</v>
      </c>
      <c r="P23" s="84">
        <f t="shared" si="24"/>
        <v>8.56</v>
      </c>
      <c r="Q23" s="84">
        <f t="shared" si="25"/>
        <v>2.14</v>
      </c>
      <c r="R23" s="90">
        <f>'MONTAGEM CESTA'!$B$12</f>
        <v>0</v>
      </c>
      <c r="S23" s="90">
        <f t="shared" si="12"/>
        <v>0</v>
      </c>
      <c r="T23" s="84">
        <f t="shared" si="13"/>
        <v>0</v>
      </c>
      <c r="V23" s="89" t="s">
        <v>57</v>
      </c>
      <c r="W23" s="88" t="str">
        <f t="shared" si="26"/>
        <v>Café</v>
      </c>
      <c r="X23" s="88">
        <f t="shared" si="26"/>
        <v>0.25</v>
      </c>
      <c r="Y23" s="88" t="str">
        <f t="shared" si="26"/>
        <v>kg</v>
      </c>
      <c r="Z23" s="87">
        <f t="shared" si="27"/>
        <v>8.56</v>
      </c>
      <c r="AA23" s="87">
        <f t="shared" si="27"/>
        <v>2.14</v>
      </c>
      <c r="AB23" s="105">
        <f>'MONTAGEM CESTA'!$C$12</f>
        <v>0</v>
      </c>
      <c r="AC23" s="90">
        <f t="shared" si="14"/>
        <v>0</v>
      </c>
      <c r="AD23" s="87">
        <f t="shared" si="15"/>
        <v>0</v>
      </c>
      <c r="AF23" s="89" t="s">
        <v>58</v>
      </c>
      <c r="AG23" s="88" t="s">
        <v>37</v>
      </c>
      <c r="AH23" s="88">
        <f t="shared" si="28"/>
        <v>0.25</v>
      </c>
      <c r="AI23" s="88" t="s">
        <v>32</v>
      </c>
      <c r="AJ23" s="94">
        <f t="shared" si="29"/>
        <v>8.56</v>
      </c>
      <c r="AK23" s="94">
        <f t="shared" si="29"/>
        <v>2.14</v>
      </c>
      <c r="AL23" s="90">
        <f>'MONTAGEM CESTA'!$D$12</f>
        <v>0</v>
      </c>
      <c r="AM23" s="90">
        <f t="shared" si="16"/>
        <v>0</v>
      </c>
      <c r="AN23" s="84">
        <f t="shared" si="17"/>
        <v>0</v>
      </c>
      <c r="AP23" s="92" t="str">
        <f>CESTAS!E40</f>
        <v>Cesta 1/2</v>
      </c>
      <c r="AQ23" s="91" t="str">
        <f>CESTAS!F40</f>
        <v>Café</v>
      </c>
      <c r="AR23" s="91">
        <f>CESTAS!G40</f>
        <v>0.25</v>
      </c>
      <c r="AS23" s="91" t="str">
        <f>CESTAS!H40</f>
        <v>kg</v>
      </c>
      <c r="AT23" s="84">
        <f>CESTAS!I40</f>
        <v>8.56</v>
      </c>
      <c r="AU23" s="84">
        <f t="shared" si="18"/>
        <v>2.14</v>
      </c>
      <c r="AV23" s="90">
        <f>'MONTAGEM CESTA'!$B$14</f>
        <v>0</v>
      </c>
      <c r="AW23" s="90">
        <f t="shared" si="19"/>
        <v>0</v>
      </c>
      <c r="AX23" s="84">
        <f t="shared" si="20"/>
        <v>0</v>
      </c>
      <c r="AZ23" s="89" t="str">
        <f>CESTAS!E49</f>
        <v>Cesta 2/2</v>
      </c>
      <c r="BA23" s="88" t="str">
        <f>CESTAS!F49</f>
        <v>Café</v>
      </c>
      <c r="BB23" s="88">
        <f>CESTAS!G49</f>
        <v>0.25</v>
      </c>
      <c r="BC23" s="88" t="str">
        <f>CESTAS!H49</f>
        <v>kg</v>
      </c>
      <c r="BD23" s="87">
        <f>CESTAS!I49</f>
        <v>8.56</v>
      </c>
      <c r="BE23" s="87">
        <f t="shared" si="30"/>
        <v>2.14</v>
      </c>
      <c r="BF23" s="86">
        <f>'MONTAGEM CESTA'!$C$14</f>
        <v>0</v>
      </c>
      <c r="BG23" s="85">
        <f t="shared" si="21"/>
        <v>0</v>
      </c>
      <c r="BH23" s="84">
        <f t="shared" si="22"/>
        <v>0</v>
      </c>
    </row>
    <row r="24" spans="1:60" ht="15.75" x14ac:dyDescent="0.25">
      <c r="A24" s="93" t="s">
        <v>37</v>
      </c>
      <c r="B24" s="93">
        <v>330</v>
      </c>
      <c r="L24" s="92" t="s">
        <v>56</v>
      </c>
      <c r="M24" s="91" t="str">
        <f t="shared" si="23"/>
        <v>Óleo</v>
      </c>
      <c r="N24" s="91">
        <f t="shared" si="23"/>
        <v>1</v>
      </c>
      <c r="O24" s="91" t="str">
        <f t="shared" si="24"/>
        <v>unid</v>
      </c>
      <c r="P24" s="84">
        <f t="shared" si="24"/>
        <v>10.79</v>
      </c>
      <c r="Q24" s="84">
        <f t="shared" si="25"/>
        <v>10.79</v>
      </c>
      <c r="R24" s="90">
        <f>'MONTAGEM CESTA'!$B$12</f>
        <v>0</v>
      </c>
      <c r="S24" s="90">
        <f t="shared" si="12"/>
        <v>0</v>
      </c>
      <c r="T24" s="84">
        <f t="shared" si="13"/>
        <v>0</v>
      </c>
      <c r="V24" s="89" t="s">
        <v>57</v>
      </c>
      <c r="W24" s="88" t="str">
        <f t="shared" si="26"/>
        <v>Óleo</v>
      </c>
      <c r="X24" s="88">
        <f t="shared" si="26"/>
        <v>1</v>
      </c>
      <c r="Y24" s="88" t="str">
        <f t="shared" si="26"/>
        <v>unid</v>
      </c>
      <c r="Z24" s="87">
        <f t="shared" si="27"/>
        <v>10.79</v>
      </c>
      <c r="AA24" s="87">
        <f t="shared" si="27"/>
        <v>10.79</v>
      </c>
      <c r="AB24" s="105">
        <f>'MONTAGEM CESTA'!$C$12</f>
        <v>0</v>
      </c>
      <c r="AC24" s="90">
        <f t="shared" si="14"/>
        <v>0</v>
      </c>
      <c r="AD24" s="87">
        <f t="shared" si="15"/>
        <v>0</v>
      </c>
      <c r="AF24" s="89" t="s">
        <v>58</v>
      </c>
      <c r="AG24" s="88" t="s">
        <v>38</v>
      </c>
      <c r="AH24" s="88">
        <f t="shared" si="28"/>
        <v>1</v>
      </c>
      <c r="AI24" s="88" t="s">
        <v>39</v>
      </c>
      <c r="AJ24" s="94">
        <f t="shared" si="29"/>
        <v>10.79</v>
      </c>
      <c r="AK24" s="94">
        <f t="shared" si="29"/>
        <v>10.79</v>
      </c>
      <c r="AL24" s="90">
        <f>'MONTAGEM CESTA'!$D$12</f>
        <v>0</v>
      </c>
      <c r="AM24" s="90">
        <f t="shared" si="16"/>
        <v>0</v>
      </c>
      <c r="AN24" s="84">
        <f t="shared" si="17"/>
        <v>0</v>
      </c>
      <c r="AP24" s="92" t="str">
        <f>CESTAS!E41</f>
        <v>Cesta 1/2</v>
      </c>
      <c r="AQ24" s="91" t="str">
        <f>CESTAS!F41</f>
        <v>Óleo</v>
      </c>
      <c r="AR24" s="91">
        <f>CESTAS!G41</f>
        <v>0</v>
      </c>
      <c r="AS24" s="91" t="str">
        <f>CESTAS!H41</f>
        <v>unid</v>
      </c>
      <c r="AT24" s="84">
        <f>CESTAS!I41</f>
        <v>10.79</v>
      </c>
      <c r="AU24" s="84">
        <f t="shared" si="18"/>
        <v>0</v>
      </c>
      <c r="AV24" s="90">
        <f>'MONTAGEM CESTA'!$B$14</f>
        <v>0</v>
      </c>
      <c r="AW24" s="90">
        <f t="shared" si="19"/>
        <v>0</v>
      </c>
      <c r="AX24" s="84">
        <f t="shared" si="20"/>
        <v>0</v>
      </c>
      <c r="AZ24" s="89" t="str">
        <f>CESTAS!E50</f>
        <v>Cesta 2/2</v>
      </c>
      <c r="BA24" s="88" t="str">
        <f>CESTAS!F50</f>
        <v>Óleo</v>
      </c>
      <c r="BB24" s="88">
        <f>CESTAS!G50</f>
        <v>0</v>
      </c>
      <c r="BC24" s="88" t="str">
        <f>CESTAS!H50</f>
        <v>unid</v>
      </c>
      <c r="BD24" s="87">
        <f>CESTAS!I50</f>
        <v>10.79</v>
      </c>
      <c r="BE24" s="87">
        <f t="shared" si="30"/>
        <v>0</v>
      </c>
      <c r="BF24" s="86">
        <f>'MONTAGEM CESTA'!$C$14</f>
        <v>0</v>
      </c>
      <c r="BG24" s="85">
        <f t="shared" si="21"/>
        <v>0</v>
      </c>
      <c r="BH24" s="84">
        <f t="shared" si="22"/>
        <v>0</v>
      </c>
    </row>
    <row r="25" spans="1:60" ht="15.75" x14ac:dyDescent="0.25">
      <c r="A25" s="93" t="s">
        <v>38</v>
      </c>
      <c r="B25" s="93">
        <v>1340</v>
      </c>
      <c r="L25" s="92" t="s">
        <v>56</v>
      </c>
      <c r="M25" s="91" t="str">
        <f t="shared" si="23"/>
        <v>Sal</v>
      </c>
      <c r="N25" s="91">
        <f t="shared" si="23"/>
        <v>0.5</v>
      </c>
      <c r="O25" s="91" t="str">
        <f t="shared" si="24"/>
        <v>kg</v>
      </c>
      <c r="P25" s="84">
        <f t="shared" si="24"/>
        <v>0.9</v>
      </c>
      <c r="Q25" s="84">
        <f t="shared" si="25"/>
        <v>0.45</v>
      </c>
      <c r="R25" s="90">
        <f>'MONTAGEM CESTA'!$B$12</f>
        <v>0</v>
      </c>
      <c r="S25" s="90">
        <f t="shared" si="12"/>
        <v>0</v>
      </c>
      <c r="T25" s="84">
        <f t="shared" si="13"/>
        <v>0</v>
      </c>
      <c r="V25" s="89" t="s">
        <v>57</v>
      </c>
      <c r="W25" s="88" t="str">
        <f t="shared" si="26"/>
        <v>Sal</v>
      </c>
      <c r="X25" s="88">
        <f t="shared" si="26"/>
        <v>0.5</v>
      </c>
      <c r="Y25" s="88" t="str">
        <f t="shared" si="26"/>
        <v>kg</v>
      </c>
      <c r="Z25" s="87">
        <f t="shared" si="27"/>
        <v>0.9</v>
      </c>
      <c r="AA25" s="87">
        <f t="shared" si="27"/>
        <v>0.45</v>
      </c>
      <c r="AB25" s="105">
        <f>'MONTAGEM CESTA'!$C$12</f>
        <v>0</v>
      </c>
      <c r="AC25" s="90">
        <f t="shared" si="14"/>
        <v>0</v>
      </c>
      <c r="AD25" s="87">
        <f t="shared" si="15"/>
        <v>0</v>
      </c>
      <c r="AF25" s="89" t="s">
        <v>58</v>
      </c>
      <c r="AG25" s="88" t="s">
        <v>40</v>
      </c>
      <c r="AH25" s="88">
        <f t="shared" si="28"/>
        <v>1</v>
      </c>
      <c r="AI25" s="88" t="s">
        <v>32</v>
      </c>
      <c r="AJ25" s="94">
        <f t="shared" si="29"/>
        <v>0.9</v>
      </c>
      <c r="AK25" s="94">
        <f t="shared" si="29"/>
        <v>0.9</v>
      </c>
      <c r="AL25" s="90">
        <f>'MONTAGEM CESTA'!$D$12</f>
        <v>0</v>
      </c>
      <c r="AM25" s="90">
        <f t="shared" si="16"/>
        <v>0</v>
      </c>
      <c r="AN25" s="84">
        <f t="shared" si="17"/>
        <v>0</v>
      </c>
      <c r="AP25" s="92" t="str">
        <f>CESTAS!E42</f>
        <v>Cesta 1/2</v>
      </c>
      <c r="AQ25" s="91" t="str">
        <f>CESTAS!F42</f>
        <v>Sal</v>
      </c>
      <c r="AR25" s="91">
        <f>CESTAS!G42</f>
        <v>0.5</v>
      </c>
      <c r="AS25" s="91" t="str">
        <f>CESTAS!H42</f>
        <v>kg</v>
      </c>
      <c r="AT25" s="84">
        <f>CESTAS!I42</f>
        <v>0.9</v>
      </c>
      <c r="AU25" s="84">
        <f t="shared" si="18"/>
        <v>0.45</v>
      </c>
      <c r="AV25" s="90">
        <f>'MONTAGEM CESTA'!$B$14</f>
        <v>0</v>
      </c>
      <c r="AW25" s="90">
        <f t="shared" si="19"/>
        <v>0</v>
      </c>
      <c r="AX25" s="84">
        <f t="shared" si="20"/>
        <v>0</v>
      </c>
      <c r="AZ25" s="89" t="str">
        <f>CESTAS!E51</f>
        <v>Cesta 2/2</v>
      </c>
      <c r="BA25" s="88" t="str">
        <f>CESTAS!F51</f>
        <v>Sal</v>
      </c>
      <c r="BB25" s="88">
        <f>CESTAS!G51</f>
        <v>0.5</v>
      </c>
      <c r="BC25" s="88" t="str">
        <f>CESTAS!H51</f>
        <v>kg</v>
      </c>
      <c r="BD25" s="87">
        <f>CESTAS!I51</f>
        <v>0.9</v>
      </c>
      <c r="BE25" s="87">
        <f t="shared" si="30"/>
        <v>0.45</v>
      </c>
      <c r="BF25" s="86">
        <f>'MONTAGEM CESTA'!$C$14</f>
        <v>0</v>
      </c>
      <c r="BG25" s="85">
        <f t="shared" si="21"/>
        <v>0</v>
      </c>
      <c r="BH25" s="84">
        <f t="shared" si="22"/>
        <v>0</v>
      </c>
    </row>
    <row r="26" spans="1:60" ht="15.75" x14ac:dyDescent="0.25">
      <c r="A26" s="93" t="s">
        <v>40</v>
      </c>
      <c r="B26" s="93">
        <v>810</v>
      </c>
      <c r="L26" s="92" t="s">
        <v>56</v>
      </c>
      <c r="M26" s="91" t="str">
        <f t="shared" si="23"/>
        <v>Sabão</v>
      </c>
      <c r="N26" s="91">
        <f t="shared" si="23"/>
        <v>1</v>
      </c>
      <c r="O26" s="91" t="str">
        <f t="shared" si="24"/>
        <v>unid</v>
      </c>
      <c r="P26" s="84">
        <f t="shared" si="24"/>
        <v>1.04</v>
      </c>
      <c r="Q26" s="84">
        <f t="shared" si="25"/>
        <v>1.04</v>
      </c>
      <c r="R26" s="90">
        <f>'MONTAGEM CESTA'!$B$12</f>
        <v>0</v>
      </c>
      <c r="S26" s="90">
        <f t="shared" si="12"/>
        <v>0</v>
      </c>
      <c r="T26" s="84">
        <f t="shared" si="13"/>
        <v>0</v>
      </c>
      <c r="V26" s="89" t="s">
        <v>57</v>
      </c>
      <c r="W26" s="88" t="str">
        <f t="shared" si="26"/>
        <v>Sabão</v>
      </c>
      <c r="X26" s="88">
        <f t="shared" si="26"/>
        <v>1</v>
      </c>
      <c r="Y26" s="88" t="str">
        <f t="shared" si="26"/>
        <v>unid</v>
      </c>
      <c r="Z26" s="87">
        <f t="shared" si="27"/>
        <v>1.04</v>
      </c>
      <c r="AA26" s="87">
        <f t="shared" si="27"/>
        <v>1.04</v>
      </c>
      <c r="AB26" s="105">
        <f>'MONTAGEM CESTA'!$C$12</f>
        <v>0</v>
      </c>
      <c r="AC26" s="90">
        <f t="shared" si="14"/>
        <v>0</v>
      </c>
      <c r="AD26" s="87">
        <f t="shared" si="15"/>
        <v>0</v>
      </c>
      <c r="AF26" s="89" t="s">
        <v>58</v>
      </c>
      <c r="AG26" s="88" t="s">
        <v>41</v>
      </c>
      <c r="AH26" s="88">
        <f t="shared" si="28"/>
        <v>2</v>
      </c>
      <c r="AI26" s="88" t="s">
        <v>39</v>
      </c>
      <c r="AJ26" s="94">
        <f t="shared" si="29"/>
        <v>1.04</v>
      </c>
      <c r="AK26" s="94">
        <f t="shared" si="29"/>
        <v>2.08</v>
      </c>
      <c r="AL26" s="90">
        <f>'MONTAGEM CESTA'!$D$12</f>
        <v>0</v>
      </c>
      <c r="AM26" s="90">
        <f t="shared" si="16"/>
        <v>0</v>
      </c>
      <c r="AN26" s="84">
        <f t="shared" si="17"/>
        <v>0</v>
      </c>
      <c r="AP26" s="92" t="str">
        <f>CESTAS!E43</f>
        <v>Cesta 1/2</v>
      </c>
      <c r="AQ26" s="91" t="str">
        <f>CESTAS!F43</f>
        <v>Sabão</v>
      </c>
      <c r="AR26" s="91">
        <f>CESTAS!G43</f>
        <v>1</v>
      </c>
      <c r="AS26" s="91" t="str">
        <f>CESTAS!H43</f>
        <v>unid</v>
      </c>
      <c r="AT26" s="84">
        <f>CESTAS!I43</f>
        <v>1.04</v>
      </c>
      <c r="AU26" s="84">
        <f t="shared" si="18"/>
        <v>1.04</v>
      </c>
      <c r="AV26" s="90">
        <f>'MONTAGEM CESTA'!$B$14</f>
        <v>0</v>
      </c>
      <c r="AW26" s="90">
        <f t="shared" si="19"/>
        <v>0</v>
      </c>
      <c r="AX26" s="84">
        <f t="shared" si="20"/>
        <v>0</v>
      </c>
      <c r="AZ26" s="89" t="str">
        <f>CESTAS!E52</f>
        <v>Cesta 2/2</v>
      </c>
      <c r="BA26" s="88" t="str">
        <f>CESTAS!F52</f>
        <v>Sabão</v>
      </c>
      <c r="BB26" s="88">
        <f>CESTAS!G52</f>
        <v>1</v>
      </c>
      <c r="BC26" s="88" t="str">
        <f>CESTAS!H52</f>
        <v>unid</v>
      </c>
      <c r="BD26" s="87">
        <f>CESTAS!I52</f>
        <v>1.04</v>
      </c>
      <c r="BE26" s="87">
        <f t="shared" si="30"/>
        <v>1.04</v>
      </c>
      <c r="BF26" s="86">
        <f>'MONTAGEM CESTA'!$C$14</f>
        <v>0</v>
      </c>
      <c r="BG26" s="85">
        <f t="shared" si="21"/>
        <v>0</v>
      </c>
      <c r="BH26" s="84">
        <f t="shared" si="22"/>
        <v>0</v>
      </c>
    </row>
    <row r="27" spans="1:60" x14ac:dyDescent="0.25">
      <c r="A27" s="93" t="s">
        <v>41</v>
      </c>
      <c r="B27" s="93">
        <v>1630</v>
      </c>
    </row>
    <row r="28" spans="1:60" x14ac:dyDescent="0.25">
      <c r="A28" s="93" t="s">
        <v>42</v>
      </c>
      <c r="B28" s="93"/>
    </row>
    <row r="29" spans="1:60" x14ac:dyDescent="0.25">
      <c r="A29" s="93" t="s">
        <v>43</v>
      </c>
      <c r="B29" s="93">
        <v>500</v>
      </c>
      <c r="L29" s="432" t="s">
        <v>112</v>
      </c>
      <c r="M29" s="432"/>
      <c r="N29" s="432"/>
      <c r="O29" s="432"/>
      <c r="P29" s="432"/>
      <c r="Q29" s="432"/>
      <c r="R29" s="432"/>
      <c r="S29" s="432"/>
      <c r="T29" s="432"/>
    </row>
    <row r="30" spans="1:60" ht="38.25" x14ac:dyDescent="0.25">
      <c r="A30" s="93" t="s">
        <v>44</v>
      </c>
      <c r="B30" s="93">
        <v>910</v>
      </c>
      <c r="L30" s="103" t="s">
        <v>93</v>
      </c>
      <c r="M30" s="104" t="s">
        <v>92</v>
      </c>
      <c r="N30" s="104" t="s">
        <v>91</v>
      </c>
      <c r="O30" s="103" t="s">
        <v>90</v>
      </c>
      <c r="P30" s="103" t="s">
        <v>89</v>
      </c>
      <c r="Q30" s="103" t="s">
        <v>88</v>
      </c>
      <c r="R30" s="103" t="s">
        <v>87</v>
      </c>
      <c r="S30" s="103" t="s">
        <v>86</v>
      </c>
      <c r="T30" s="103" t="s">
        <v>85</v>
      </c>
    </row>
    <row r="31" spans="1:60" ht="15.75" x14ac:dyDescent="0.25">
      <c r="A31" s="93" t="s">
        <v>45</v>
      </c>
      <c r="B31" s="93">
        <v>500</v>
      </c>
      <c r="L31" s="92" t="s">
        <v>111</v>
      </c>
      <c r="M31" s="93" t="s">
        <v>42</v>
      </c>
      <c r="N31" s="93">
        <v>1</v>
      </c>
      <c r="O31" s="93" t="s">
        <v>32</v>
      </c>
      <c r="P31" s="95">
        <f>CESTAS!I53</f>
        <v>0</v>
      </c>
      <c r="Q31" s="84">
        <f>IF(N31&lt;&gt;"",N31*P31)</f>
        <v>0</v>
      </c>
      <c r="R31" s="86">
        <f>'MONTAGEM CESTA'!D14</f>
        <v>0</v>
      </c>
      <c r="S31" s="90">
        <f>IF(N31&lt;&gt;"",N31*R31)</f>
        <v>0</v>
      </c>
      <c r="T31" s="84">
        <f>IF(Q31&lt;&gt;"",Q31*R31)</f>
        <v>0</v>
      </c>
    </row>
    <row r="32" spans="1:60" x14ac:dyDescent="0.25">
      <c r="A32" s="93" t="s">
        <v>46</v>
      </c>
      <c r="B32" s="93">
        <v>650</v>
      </c>
    </row>
    <row r="33" spans="1:20" x14ac:dyDescent="0.25">
      <c r="A33" s="93" t="s">
        <v>47</v>
      </c>
      <c r="B33" s="93">
        <v>300</v>
      </c>
    </row>
    <row r="34" spans="1:20" x14ac:dyDescent="0.25">
      <c r="A34" s="93" t="s">
        <v>48</v>
      </c>
      <c r="B34" s="93">
        <v>700</v>
      </c>
      <c r="L34" s="425" t="s">
        <v>110</v>
      </c>
      <c r="M34" s="425"/>
      <c r="N34" s="425"/>
      <c r="O34" s="425"/>
      <c r="P34" s="425"/>
      <c r="Q34" s="425"/>
      <c r="R34" s="425"/>
      <c r="S34" s="425"/>
      <c r="T34" s="425"/>
    </row>
    <row r="35" spans="1:20" ht="38.25" x14ac:dyDescent="0.25">
      <c r="A35" s="93" t="s">
        <v>49</v>
      </c>
      <c r="B35" s="93">
        <v>700</v>
      </c>
      <c r="L35" s="101" t="s">
        <v>93</v>
      </c>
      <c r="M35" s="102" t="s">
        <v>92</v>
      </c>
      <c r="N35" s="102" t="s">
        <v>91</v>
      </c>
      <c r="O35" s="101" t="s">
        <v>90</v>
      </c>
      <c r="P35" s="101" t="s">
        <v>89</v>
      </c>
      <c r="Q35" s="101" t="s">
        <v>88</v>
      </c>
      <c r="R35" s="101" t="s">
        <v>87</v>
      </c>
      <c r="S35" s="101" t="s">
        <v>86</v>
      </c>
      <c r="T35" s="101" t="s">
        <v>85</v>
      </c>
    </row>
    <row r="36" spans="1:20" ht="15.75" x14ac:dyDescent="0.25">
      <c r="A36" s="93" t="s">
        <v>50</v>
      </c>
      <c r="B36" s="93">
        <v>20</v>
      </c>
      <c r="L36" s="92" t="s">
        <v>98</v>
      </c>
      <c r="M36" s="88" t="s">
        <v>109</v>
      </c>
      <c r="N36" s="93">
        <v>1</v>
      </c>
      <c r="O36" s="88" t="s">
        <v>39</v>
      </c>
      <c r="P36" s="99">
        <f>[1]CESTAS!I50</f>
        <v>0.01</v>
      </c>
      <c r="Q36" s="94">
        <f t="shared" ref="Q36:Q45" si="31">IF(N36&lt;&gt;"",N36*P36)</f>
        <v>0.01</v>
      </c>
      <c r="R36" s="98"/>
      <c r="S36" s="90">
        <f t="shared" ref="S36:S45" si="32">IF(N36&lt;&gt;"",N36*R36)</f>
        <v>0</v>
      </c>
      <c r="T36" s="84">
        <f t="shared" ref="T36:T45" si="33">IF(Q36&lt;&gt;"",Q36*R36)</f>
        <v>0</v>
      </c>
    </row>
    <row r="37" spans="1:20" ht="15.75" x14ac:dyDescent="0.25">
      <c r="L37" s="92" t="s">
        <v>98</v>
      </c>
      <c r="M37" s="88" t="s">
        <v>108</v>
      </c>
      <c r="N37" s="89">
        <v>1</v>
      </c>
      <c r="O37" s="88" t="s">
        <v>39</v>
      </c>
      <c r="P37" s="99">
        <f>[1]CESTAS!I51</f>
        <v>0.01</v>
      </c>
      <c r="Q37" s="94">
        <f t="shared" si="31"/>
        <v>0.01</v>
      </c>
      <c r="R37" s="98"/>
      <c r="S37" s="90">
        <f t="shared" si="32"/>
        <v>0</v>
      </c>
      <c r="T37" s="84">
        <f t="shared" si="33"/>
        <v>0</v>
      </c>
    </row>
    <row r="38" spans="1:20" ht="15.75" x14ac:dyDescent="0.25">
      <c r="A38" s="191" t="s">
        <v>107</v>
      </c>
      <c r="B38" s="191"/>
      <c r="C38" s="191"/>
      <c r="D38" s="191"/>
      <c r="E38" s="191"/>
      <c r="F38" s="191"/>
      <c r="G38" s="192"/>
      <c r="H38" s="192"/>
      <c r="L38" s="92" t="s">
        <v>98</v>
      </c>
      <c r="M38" s="88" t="s">
        <v>106</v>
      </c>
      <c r="N38" s="93">
        <v>1</v>
      </c>
      <c r="O38" s="88" t="s">
        <v>32</v>
      </c>
      <c r="P38" s="99">
        <f>[1]CESTAS!I52</f>
        <v>0.01</v>
      </c>
      <c r="Q38" s="94">
        <f t="shared" si="31"/>
        <v>0.01</v>
      </c>
      <c r="R38" s="98"/>
      <c r="S38" s="90">
        <f t="shared" si="32"/>
        <v>0</v>
      </c>
      <c r="T38" s="84">
        <f t="shared" si="33"/>
        <v>0</v>
      </c>
    </row>
    <row r="39" spans="1:20" ht="15.75" x14ac:dyDescent="0.25">
      <c r="A39" s="433" t="s">
        <v>105</v>
      </c>
      <c r="B39" s="433"/>
      <c r="L39" s="92" t="s">
        <v>98</v>
      </c>
      <c r="M39" s="88" t="s">
        <v>104</v>
      </c>
      <c r="N39" s="89">
        <v>1</v>
      </c>
      <c r="O39" s="88" t="s">
        <v>39</v>
      </c>
      <c r="P39" s="99">
        <f>[1]CESTAS!I53</f>
        <v>0.01</v>
      </c>
      <c r="Q39" s="94">
        <f t="shared" si="31"/>
        <v>0.01</v>
      </c>
      <c r="R39" s="98"/>
      <c r="S39" s="90">
        <f t="shared" si="32"/>
        <v>0</v>
      </c>
      <c r="T39" s="84">
        <f t="shared" si="33"/>
        <v>0</v>
      </c>
    </row>
    <row r="40" spans="1:20" ht="15.75" x14ac:dyDescent="0.25">
      <c r="A40" s="433"/>
      <c r="B40" s="433"/>
      <c r="L40" s="92" t="s">
        <v>98</v>
      </c>
      <c r="M40" s="88" t="s">
        <v>103</v>
      </c>
      <c r="N40" s="89">
        <v>1</v>
      </c>
      <c r="O40" s="88" t="s">
        <v>32</v>
      </c>
      <c r="P40" s="99">
        <f>[1]CESTAS!I54</f>
        <v>0.01</v>
      </c>
      <c r="Q40" s="94">
        <f t="shared" si="31"/>
        <v>0.01</v>
      </c>
      <c r="R40" s="98"/>
      <c r="S40" s="90">
        <f t="shared" si="32"/>
        <v>0</v>
      </c>
      <c r="T40" s="84">
        <f t="shared" si="33"/>
        <v>0</v>
      </c>
    </row>
    <row r="41" spans="1:20" ht="15.75" x14ac:dyDescent="0.25">
      <c r="A41" s="433"/>
      <c r="B41" s="433"/>
      <c r="L41" s="92" t="s">
        <v>98</v>
      </c>
      <c r="M41" s="88" t="s">
        <v>102</v>
      </c>
      <c r="N41" s="89">
        <v>1</v>
      </c>
      <c r="O41" s="88" t="s">
        <v>32</v>
      </c>
      <c r="P41" s="99">
        <f>[1]CESTAS!I55</f>
        <v>0.01</v>
      </c>
      <c r="Q41" s="94">
        <f t="shared" si="31"/>
        <v>0.01</v>
      </c>
      <c r="R41" s="98"/>
      <c r="S41" s="90">
        <f t="shared" si="32"/>
        <v>0</v>
      </c>
      <c r="T41" s="84">
        <f t="shared" si="33"/>
        <v>0</v>
      </c>
    </row>
    <row r="42" spans="1:20" ht="15.75" x14ac:dyDescent="0.25">
      <c r="A42" s="433"/>
      <c r="B42" s="433"/>
      <c r="L42" s="92" t="s">
        <v>98</v>
      </c>
      <c r="M42" s="88" t="s">
        <v>101</v>
      </c>
      <c r="N42" s="89">
        <v>1</v>
      </c>
      <c r="O42" s="88" t="s">
        <v>39</v>
      </c>
      <c r="P42" s="99">
        <f>[1]CESTAS!I56</f>
        <v>0.01</v>
      </c>
      <c r="Q42" s="94">
        <f t="shared" si="31"/>
        <v>0.01</v>
      </c>
      <c r="R42" s="98"/>
      <c r="S42" s="90">
        <f t="shared" si="32"/>
        <v>0</v>
      </c>
      <c r="T42" s="84">
        <f t="shared" si="33"/>
        <v>0</v>
      </c>
    </row>
    <row r="43" spans="1:20" ht="15.75" x14ac:dyDescent="0.25">
      <c r="L43" s="92" t="s">
        <v>98</v>
      </c>
      <c r="M43" s="88" t="s">
        <v>100</v>
      </c>
      <c r="N43" s="89">
        <v>1</v>
      </c>
      <c r="O43" s="88" t="s">
        <v>39</v>
      </c>
      <c r="P43" s="99">
        <f>[1]CESTAS!I57</f>
        <v>0.01</v>
      </c>
      <c r="Q43" s="94">
        <f t="shared" si="31"/>
        <v>0.01</v>
      </c>
      <c r="R43" s="98"/>
      <c r="S43" s="90">
        <f t="shared" si="32"/>
        <v>0</v>
      </c>
      <c r="T43" s="84">
        <f t="shared" si="33"/>
        <v>0</v>
      </c>
    </row>
    <row r="44" spans="1:20" ht="15.75" x14ac:dyDescent="0.25">
      <c r="L44" s="92" t="s">
        <v>98</v>
      </c>
      <c r="M44" s="88" t="s">
        <v>99</v>
      </c>
      <c r="N44" s="89">
        <v>1</v>
      </c>
      <c r="O44" s="88" t="s">
        <v>39</v>
      </c>
      <c r="P44" s="99">
        <f>[1]CESTAS!I58</f>
        <v>0.01</v>
      </c>
      <c r="Q44" s="94">
        <f t="shared" si="31"/>
        <v>0.01</v>
      </c>
      <c r="R44" s="98"/>
      <c r="S44" s="90">
        <f t="shared" si="32"/>
        <v>0</v>
      </c>
      <c r="T44" s="84">
        <f t="shared" si="33"/>
        <v>0</v>
      </c>
    </row>
    <row r="45" spans="1:20" ht="15.75" x14ac:dyDescent="0.25">
      <c r="L45" s="92" t="s">
        <v>98</v>
      </c>
      <c r="M45" s="88" t="s">
        <v>97</v>
      </c>
      <c r="N45" s="89">
        <v>1</v>
      </c>
      <c r="O45" s="88" t="s">
        <v>39</v>
      </c>
      <c r="P45" s="99">
        <f>[1]CESTAS!I59</f>
        <v>0.01</v>
      </c>
      <c r="Q45" s="94">
        <f t="shared" si="31"/>
        <v>0.01</v>
      </c>
      <c r="R45" s="98"/>
      <c r="S45" s="90">
        <f t="shared" si="32"/>
        <v>0</v>
      </c>
      <c r="T45" s="84">
        <f t="shared" si="33"/>
        <v>0</v>
      </c>
    </row>
    <row r="50" spans="12:30" x14ac:dyDescent="0.25">
      <c r="L50" s="417" t="s">
        <v>156</v>
      </c>
      <c r="M50" s="417"/>
      <c r="N50" s="417"/>
      <c r="O50" s="417"/>
      <c r="P50" s="417"/>
      <c r="Q50" s="417"/>
      <c r="R50" s="417"/>
      <c r="S50" s="417"/>
      <c r="T50" s="417"/>
      <c r="V50" s="425" t="s">
        <v>157</v>
      </c>
      <c r="W50" s="425"/>
      <c r="X50" s="425"/>
      <c r="Y50" s="425"/>
      <c r="Z50" s="425"/>
      <c r="AA50" s="425"/>
      <c r="AB50" s="425"/>
      <c r="AC50" s="425"/>
      <c r="AD50" s="425"/>
    </row>
    <row r="51" spans="12:30" ht="38.25" x14ac:dyDescent="0.25">
      <c r="L51" s="96" t="s">
        <v>96</v>
      </c>
      <c r="M51" s="97" t="s">
        <v>92</v>
      </c>
      <c r="N51" s="97" t="s">
        <v>91</v>
      </c>
      <c r="O51" s="96" t="s">
        <v>90</v>
      </c>
      <c r="P51" s="96" t="s">
        <v>89</v>
      </c>
      <c r="Q51" s="96" t="s">
        <v>88</v>
      </c>
      <c r="R51" s="96" t="s">
        <v>87</v>
      </c>
      <c r="S51" s="96" t="s">
        <v>86</v>
      </c>
      <c r="T51" s="96" t="s">
        <v>85</v>
      </c>
      <c r="V51" s="101" t="s">
        <v>96</v>
      </c>
      <c r="W51" s="102" t="s">
        <v>92</v>
      </c>
      <c r="X51" s="102" t="s">
        <v>91</v>
      </c>
      <c r="Y51" s="101" t="s">
        <v>90</v>
      </c>
      <c r="Z51" s="101" t="s">
        <v>89</v>
      </c>
      <c r="AA51" s="101" t="s">
        <v>88</v>
      </c>
      <c r="AB51" s="101" t="s">
        <v>87</v>
      </c>
      <c r="AC51" s="101" t="s">
        <v>86</v>
      </c>
      <c r="AD51" s="101" t="s">
        <v>85</v>
      </c>
    </row>
    <row r="52" spans="12:30" ht="15.75" x14ac:dyDescent="0.25">
      <c r="L52" s="93" t="str">
        <f>CESTAS!E64</f>
        <v>Cesta 1</v>
      </c>
      <c r="M52" s="88" t="str">
        <f>CESTAS!F64</f>
        <v>C1-Capa de Fardo 60x40x10</v>
      </c>
      <c r="N52" s="93">
        <v>1</v>
      </c>
      <c r="O52" s="93" t="s">
        <v>39</v>
      </c>
      <c r="P52" s="95">
        <f>CESTAS!I64</f>
        <v>0.01</v>
      </c>
      <c r="Q52" s="94">
        <f t="shared" ref="Q52:Q59" si="34">IF(N52&lt;&gt;"",N52*P52)</f>
        <v>0.01</v>
      </c>
      <c r="R52" s="86">
        <f>'MONTAGEM CESTA'!F13</f>
        <v>0</v>
      </c>
      <c r="S52" s="93">
        <f t="shared" ref="S52:S59" si="35">IF(N52&lt;&gt;"",N52*R52)</f>
        <v>0</v>
      </c>
      <c r="T52" s="84">
        <f t="shared" ref="T52:T59" si="36">IF(Q52&lt;&gt;"",Q52*R52)</f>
        <v>0</v>
      </c>
      <c r="V52" s="93" t="str">
        <f>L52</f>
        <v>Cesta 1</v>
      </c>
      <c r="W52" s="88" t="str">
        <f>M52</f>
        <v>C1-Capa de Fardo 60x40x10</v>
      </c>
      <c r="X52" s="93">
        <f>N52</f>
        <v>1</v>
      </c>
      <c r="Y52" s="93" t="s">
        <v>39</v>
      </c>
      <c r="Z52" s="95">
        <f>P52</f>
        <v>0.01</v>
      </c>
      <c r="AA52" s="94">
        <f t="shared" ref="AA52:AA59" si="37">IF(X52&lt;&gt;"",X52*Z52)</f>
        <v>0.01</v>
      </c>
      <c r="AB52" s="86">
        <f>'MONTAGEM CESTA'!P13</f>
        <v>0</v>
      </c>
      <c r="AC52" s="93">
        <f t="shared" ref="AC52:AC59" si="38">IF(X52&lt;&gt;"",X52*AB52)</f>
        <v>0</v>
      </c>
      <c r="AD52" s="84">
        <f t="shared" ref="AD52:AD59" si="39">IF(AA52&lt;&gt;"",AA52*AB52)</f>
        <v>0</v>
      </c>
    </row>
    <row r="53" spans="12:30" ht="15.75" x14ac:dyDescent="0.25">
      <c r="L53" s="93" t="str">
        <f>CESTAS!E65</f>
        <v>Emb. Cesta 2 e 3</v>
      </c>
      <c r="M53" s="88" t="str">
        <f>CESTAS!F65</f>
        <v>C2e3-Capa de Fardo 80x50x10</v>
      </c>
      <c r="N53" s="93">
        <v>1</v>
      </c>
      <c r="O53" s="93" t="s">
        <v>39</v>
      </c>
      <c r="P53" s="95">
        <f>CESTAS!I65</f>
        <v>0.01</v>
      </c>
      <c r="Q53" s="94">
        <f t="shared" si="34"/>
        <v>0.01</v>
      </c>
      <c r="R53" s="86">
        <f>'MONTAGEM CESTA'!G13</f>
        <v>0</v>
      </c>
      <c r="S53" s="93">
        <f t="shared" si="35"/>
        <v>0</v>
      </c>
      <c r="T53" s="84">
        <f t="shared" si="36"/>
        <v>0</v>
      </c>
      <c r="V53" s="93" t="str">
        <f t="shared" ref="V53:V59" si="40">L53</f>
        <v>Emb. Cesta 2 e 3</v>
      </c>
      <c r="W53" s="88" t="str">
        <f t="shared" ref="W53:W59" si="41">M53</f>
        <v>C2e3-Capa de Fardo 80x50x10</v>
      </c>
      <c r="X53" s="93">
        <f t="shared" ref="X53:X59" si="42">N53</f>
        <v>1</v>
      </c>
      <c r="Y53" s="93" t="s">
        <v>39</v>
      </c>
      <c r="Z53" s="95">
        <f t="shared" ref="Z53:Z59" si="43">P53</f>
        <v>0.01</v>
      </c>
      <c r="AA53" s="94">
        <f t="shared" si="37"/>
        <v>0.01</v>
      </c>
      <c r="AB53" s="86">
        <f>'MONTAGEM CESTA'!Q13</f>
        <v>0</v>
      </c>
      <c r="AC53" s="93">
        <f t="shared" si="38"/>
        <v>0</v>
      </c>
      <c r="AD53" s="84">
        <f t="shared" si="39"/>
        <v>0</v>
      </c>
    </row>
    <row r="54" spans="12:30" ht="15.75" x14ac:dyDescent="0.25">
      <c r="L54" s="93" t="str">
        <f>CESTAS!E66</f>
        <v>Emb. Todas Cestas</v>
      </c>
      <c r="M54" s="88" t="str">
        <f>CESTAS!F66</f>
        <v>Embalagem 17x25</v>
      </c>
      <c r="N54" s="93">
        <v>1</v>
      </c>
      <c r="O54" s="93" t="s">
        <v>39</v>
      </c>
      <c r="P54" s="95">
        <f>CESTAS!I66</f>
        <v>0.01</v>
      </c>
      <c r="Q54" s="94">
        <f t="shared" si="34"/>
        <v>0.01</v>
      </c>
      <c r="R54" s="86">
        <f>'MONTAGEM CESTA'!H13</f>
        <v>0</v>
      </c>
      <c r="S54" s="93">
        <f t="shared" si="35"/>
        <v>0</v>
      </c>
      <c r="T54" s="84">
        <f t="shared" si="36"/>
        <v>0</v>
      </c>
      <c r="V54" s="93" t="str">
        <f t="shared" si="40"/>
        <v>Emb. Todas Cestas</v>
      </c>
      <c r="W54" s="88" t="str">
        <f t="shared" si="41"/>
        <v>Embalagem 17x25</v>
      </c>
      <c r="X54" s="93">
        <f t="shared" si="42"/>
        <v>1</v>
      </c>
      <c r="Y54" s="93" t="s">
        <v>39</v>
      </c>
      <c r="Z54" s="95">
        <f t="shared" si="43"/>
        <v>0.01</v>
      </c>
      <c r="AA54" s="94">
        <f t="shared" si="37"/>
        <v>0.01</v>
      </c>
      <c r="AB54" s="86">
        <f>'MONTAGEM CESTA'!R13</f>
        <v>0</v>
      </c>
      <c r="AC54" s="93">
        <f t="shared" si="38"/>
        <v>0</v>
      </c>
      <c r="AD54" s="84">
        <f t="shared" si="39"/>
        <v>0</v>
      </c>
    </row>
    <row r="55" spans="12:30" ht="15.75" x14ac:dyDescent="0.25">
      <c r="L55" s="93" t="str">
        <f>CESTAS!E67</f>
        <v>Emb. Todas Cestas</v>
      </c>
      <c r="M55" s="88" t="str">
        <f>CESTAS!F67</f>
        <v>Embalagem 17x35</v>
      </c>
      <c r="N55" s="93">
        <v>1</v>
      </c>
      <c r="O55" s="93" t="s">
        <v>39</v>
      </c>
      <c r="P55" s="95">
        <f>CESTAS!I67</f>
        <v>0.01</v>
      </c>
      <c r="Q55" s="94">
        <f t="shared" si="34"/>
        <v>0.01</v>
      </c>
      <c r="R55" s="86">
        <f>'MONTAGEM CESTA'!I13</f>
        <v>0</v>
      </c>
      <c r="S55" s="93">
        <f t="shared" si="35"/>
        <v>0</v>
      </c>
      <c r="T55" s="84">
        <f t="shared" si="36"/>
        <v>0</v>
      </c>
      <c r="V55" s="93" t="str">
        <f t="shared" si="40"/>
        <v>Emb. Todas Cestas</v>
      </c>
      <c r="W55" s="88" t="str">
        <f t="shared" si="41"/>
        <v>Embalagem 17x35</v>
      </c>
      <c r="X55" s="93">
        <f t="shared" si="42"/>
        <v>1</v>
      </c>
      <c r="Y55" s="93" t="s">
        <v>39</v>
      </c>
      <c r="Z55" s="95">
        <f t="shared" si="43"/>
        <v>0.01</v>
      </c>
      <c r="AA55" s="94">
        <f t="shared" si="37"/>
        <v>0.01</v>
      </c>
      <c r="AB55" s="86">
        <f>'MONTAGEM CESTA'!S13</f>
        <v>0</v>
      </c>
      <c r="AC55" s="93">
        <f t="shared" si="38"/>
        <v>0</v>
      </c>
      <c r="AD55" s="84">
        <f t="shared" si="39"/>
        <v>0</v>
      </c>
    </row>
    <row r="56" spans="12:30" ht="15.75" x14ac:dyDescent="0.25">
      <c r="L56" s="93" t="str">
        <f>CESTAS!E68</f>
        <v>Emb. Todas Cestas</v>
      </c>
      <c r="M56" s="88" t="str">
        <f>CESTAS!F68</f>
        <v>Embalagem 20x30</v>
      </c>
      <c r="N56" s="93">
        <v>1</v>
      </c>
      <c r="O56" s="93" t="s">
        <v>39</v>
      </c>
      <c r="P56" s="95">
        <f>CESTAS!I68</f>
        <v>0.01</v>
      </c>
      <c r="Q56" s="94">
        <f t="shared" si="34"/>
        <v>0.01</v>
      </c>
      <c r="R56" s="86">
        <f>'MONTAGEM CESTA'!F16</f>
        <v>0</v>
      </c>
      <c r="S56" s="93">
        <f t="shared" si="35"/>
        <v>0</v>
      </c>
      <c r="T56" s="84">
        <f t="shared" si="36"/>
        <v>0</v>
      </c>
      <c r="V56" s="93" t="str">
        <f t="shared" si="40"/>
        <v>Emb. Todas Cestas</v>
      </c>
      <c r="W56" s="88" t="str">
        <f t="shared" si="41"/>
        <v>Embalagem 20x30</v>
      </c>
      <c r="X56" s="93">
        <f t="shared" si="42"/>
        <v>1</v>
      </c>
      <c r="Y56" s="93" t="s">
        <v>39</v>
      </c>
      <c r="Z56" s="95">
        <f t="shared" si="43"/>
        <v>0.01</v>
      </c>
      <c r="AA56" s="94">
        <f t="shared" si="37"/>
        <v>0.01</v>
      </c>
      <c r="AB56" s="86">
        <f>'MONTAGEM CESTA'!P16</f>
        <v>0</v>
      </c>
      <c r="AC56" s="93">
        <f t="shared" si="38"/>
        <v>0</v>
      </c>
      <c r="AD56" s="84">
        <f t="shared" si="39"/>
        <v>0</v>
      </c>
    </row>
    <row r="57" spans="12:30" ht="15.75" x14ac:dyDescent="0.25">
      <c r="L57" s="93" t="str">
        <f>CESTAS!E69</f>
        <v>Emb. Todas Cestas</v>
      </c>
      <c r="M57" s="88" t="str">
        <f>CESTAS!F69</f>
        <v>Embalagem 25x35</v>
      </c>
      <c r="N57" s="93">
        <v>1</v>
      </c>
      <c r="O57" s="93" t="s">
        <v>39</v>
      </c>
      <c r="P57" s="95">
        <f>CESTAS!I69</f>
        <v>0.01</v>
      </c>
      <c r="Q57" s="94">
        <f t="shared" si="34"/>
        <v>0.01</v>
      </c>
      <c r="R57" s="86">
        <f>'MONTAGEM CESTA'!G16</f>
        <v>0</v>
      </c>
      <c r="S57" s="93">
        <f t="shared" si="35"/>
        <v>0</v>
      </c>
      <c r="T57" s="84">
        <f t="shared" si="36"/>
        <v>0</v>
      </c>
      <c r="V57" s="93" t="str">
        <f t="shared" si="40"/>
        <v>Emb. Todas Cestas</v>
      </c>
      <c r="W57" s="88" t="str">
        <f t="shared" si="41"/>
        <v>Embalagem 25x35</v>
      </c>
      <c r="X57" s="93">
        <f t="shared" si="42"/>
        <v>1</v>
      </c>
      <c r="Y57" s="93" t="s">
        <v>39</v>
      </c>
      <c r="Z57" s="95">
        <f t="shared" si="43"/>
        <v>0.01</v>
      </c>
      <c r="AA57" s="94">
        <f t="shared" si="37"/>
        <v>0.01</v>
      </c>
      <c r="AB57" s="86">
        <f>'MONTAGEM CESTA'!Q16</f>
        <v>0</v>
      </c>
      <c r="AC57" s="93">
        <f t="shared" si="38"/>
        <v>0</v>
      </c>
      <c r="AD57" s="84">
        <f t="shared" si="39"/>
        <v>0</v>
      </c>
    </row>
    <row r="58" spans="12:30" ht="15.75" x14ac:dyDescent="0.25">
      <c r="L58" s="93" t="str">
        <f>CESTAS!E70</f>
        <v>Emb. Todas Cestas</v>
      </c>
      <c r="M58" s="88" t="str">
        <f>CESTAS!F70</f>
        <v>Embalagem 35x45x10 (corte)</v>
      </c>
      <c r="N58" s="93">
        <v>1</v>
      </c>
      <c r="O58" s="93" t="s">
        <v>39</v>
      </c>
      <c r="P58" s="95">
        <f>CESTAS!I70</f>
        <v>0.01</v>
      </c>
      <c r="Q58" s="94">
        <f t="shared" si="34"/>
        <v>0.01</v>
      </c>
      <c r="R58" s="86">
        <f>'MONTAGEM CESTA'!H16</f>
        <v>0</v>
      </c>
      <c r="S58" s="93">
        <f t="shared" si="35"/>
        <v>0</v>
      </c>
      <c r="T58" s="84">
        <f t="shared" si="36"/>
        <v>0</v>
      </c>
      <c r="V58" s="93" t="str">
        <f t="shared" si="40"/>
        <v>Emb. Todas Cestas</v>
      </c>
      <c r="W58" s="88" t="str">
        <f t="shared" si="41"/>
        <v>Embalagem 35x45x10 (corte)</v>
      </c>
      <c r="X58" s="93">
        <f t="shared" si="42"/>
        <v>1</v>
      </c>
      <c r="Y58" s="93" t="s">
        <v>39</v>
      </c>
      <c r="Z58" s="95">
        <f t="shared" si="43"/>
        <v>0.01</v>
      </c>
      <c r="AA58" s="94">
        <f t="shared" si="37"/>
        <v>0.01</v>
      </c>
      <c r="AB58" s="86">
        <f>'MONTAGEM CESTA'!R16</f>
        <v>0</v>
      </c>
      <c r="AC58" s="93">
        <f t="shared" si="38"/>
        <v>0</v>
      </c>
      <c r="AD58" s="84">
        <f t="shared" si="39"/>
        <v>0</v>
      </c>
    </row>
    <row r="59" spans="12:30" ht="15.75" x14ac:dyDescent="0.25">
      <c r="L59" s="93" t="str">
        <f>CESTAS!E71</f>
        <v>Emb. Todas Cestas</v>
      </c>
      <c r="M59" s="88" t="str">
        <f>CESTAS!F71</f>
        <v>Fita</v>
      </c>
      <c r="N59" s="93">
        <v>1</v>
      </c>
      <c r="O59" s="93" t="s">
        <v>39</v>
      </c>
      <c r="P59" s="95">
        <f>CESTAS!I71</f>
        <v>0.01</v>
      </c>
      <c r="Q59" s="94">
        <f t="shared" si="34"/>
        <v>0.01</v>
      </c>
      <c r="R59" s="86">
        <f>'MONTAGEM CESTA'!I16</f>
        <v>0</v>
      </c>
      <c r="S59" s="93">
        <f t="shared" si="35"/>
        <v>0</v>
      </c>
      <c r="T59" s="84">
        <f t="shared" si="36"/>
        <v>0</v>
      </c>
      <c r="V59" s="93" t="str">
        <f t="shared" si="40"/>
        <v>Emb. Todas Cestas</v>
      </c>
      <c r="W59" s="88" t="str">
        <f t="shared" si="41"/>
        <v>Fita</v>
      </c>
      <c r="X59" s="93">
        <f t="shared" si="42"/>
        <v>1</v>
      </c>
      <c r="Y59" s="93" t="s">
        <v>39</v>
      </c>
      <c r="Z59" s="95">
        <f t="shared" si="43"/>
        <v>0.01</v>
      </c>
      <c r="AA59" s="94">
        <f t="shared" si="37"/>
        <v>0.01</v>
      </c>
      <c r="AB59" s="86">
        <f>'MONTAGEM CESTA'!S16</f>
        <v>0</v>
      </c>
      <c r="AC59" s="93">
        <f t="shared" si="38"/>
        <v>0</v>
      </c>
      <c r="AD59" s="84">
        <f t="shared" si="39"/>
        <v>0</v>
      </c>
    </row>
    <row r="63" spans="12:30" x14ac:dyDescent="0.25">
      <c r="L63" t="s">
        <v>168</v>
      </c>
    </row>
    <row r="64" spans="12:30" x14ac:dyDescent="0.25">
      <c r="L64" t="s">
        <v>163</v>
      </c>
    </row>
    <row r="65" spans="12:12" x14ac:dyDescent="0.25">
      <c r="L65" t="s">
        <v>164</v>
      </c>
    </row>
    <row r="66" spans="12:12" x14ac:dyDescent="0.25">
      <c r="L66" t="s">
        <v>165</v>
      </c>
    </row>
    <row r="67" spans="12:12" x14ac:dyDescent="0.25">
      <c r="L67" t="s">
        <v>166</v>
      </c>
    </row>
    <row r="68" spans="12:12" x14ac:dyDescent="0.25">
      <c r="L68" t="s">
        <v>167</v>
      </c>
    </row>
    <row r="69" spans="12:12" x14ac:dyDescent="0.25">
      <c r="L69" t="s">
        <v>42</v>
      </c>
    </row>
  </sheetData>
  <sheetProtection selectLockedCells="1" selectUnlockedCells="1"/>
  <mergeCells count="17">
    <mergeCell ref="A17:B17"/>
    <mergeCell ref="L29:T29"/>
    <mergeCell ref="L34:T34"/>
    <mergeCell ref="A39:B42"/>
    <mergeCell ref="A1:B1"/>
    <mergeCell ref="L1:S1"/>
    <mergeCell ref="L50:T50"/>
    <mergeCell ref="AP1:AW1"/>
    <mergeCell ref="AP16:AW16"/>
    <mergeCell ref="AZ16:BG16"/>
    <mergeCell ref="V50:AD50"/>
    <mergeCell ref="AZ1:BG1"/>
    <mergeCell ref="V1:AC1"/>
    <mergeCell ref="AF1:AM1"/>
    <mergeCell ref="L16:S16"/>
    <mergeCell ref="V16:AC16"/>
    <mergeCell ref="AF16:AM16"/>
  </mergeCells>
  <dataValidations disablePrompts="1" count="1">
    <dataValidation type="list" allowBlank="1" showInputMessage="1" showErrorMessage="1" sqref="V3:V13 L3:L13 AF3:AF13 V18:V26 L18:L26 AF18:AF26">
      <formula1>"Cesta 1,Cesta 2,Cesta 3"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V40"/>
  <sheetViews>
    <sheetView showGridLines="0" showRowColHeaders="0" zoomScaleNormal="100" workbookViewId="0">
      <selection activeCell="H2" sqref="H2"/>
    </sheetView>
  </sheetViews>
  <sheetFormatPr defaultColWidth="0" defaultRowHeight="15" zeroHeight="1" x14ac:dyDescent="0.25"/>
  <cols>
    <col min="1" max="1" width="3.28515625" customWidth="1"/>
    <col min="2" max="2" width="32.42578125" customWidth="1"/>
    <col min="3" max="5" width="11.42578125" customWidth="1"/>
    <col min="6" max="7" width="12.28515625" bestFit="1" customWidth="1"/>
    <col min="8" max="13" width="11" customWidth="1"/>
    <col min="14" max="17" width="11" hidden="1" customWidth="1"/>
    <col min="18" max="18" width="16.28515625" hidden="1" customWidth="1"/>
    <col min="19" max="19" width="3.28515625" hidden="1" customWidth="1"/>
    <col min="20" max="22" width="0" hidden="1" customWidth="1"/>
    <col min="23" max="16384" width="9.140625" hidden="1"/>
  </cols>
  <sheetData>
    <row r="1" spans="1:22" s="14" customFormat="1" ht="15.75" customHeight="1" x14ac:dyDescent="0.25">
      <c r="E1" s="30"/>
    </row>
    <row r="2" spans="1:22" s="14" customFormat="1" x14ac:dyDescent="0.25">
      <c r="E2" s="30"/>
    </row>
    <row r="3" spans="1:22" s="15" customFormat="1" ht="9.75" customHeight="1" x14ac:dyDescent="0.25">
      <c r="E3" s="31"/>
    </row>
    <row r="4" spans="1:22" ht="9.75" customHeight="1" x14ac:dyDescent="0.25">
      <c r="A4" s="442"/>
      <c r="B4" s="442"/>
      <c r="C4" s="442"/>
      <c r="D4" s="442"/>
      <c r="E4" s="442"/>
      <c r="F4" s="442"/>
      <c r="G4" s="442"/>
      <c r="H4" s="442"/>
      <c r="I4" s="442"/>
      <c r="J4" s="442"/>
      <c r="K4" s="256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2" x14ac:dyDescent="0.25">
      <c r="A5" s="442"/>
      <c r="B5" s="442"/>
      <c r="C5" s="442"/>
      <c r="D5" s="442"/>
      <c r="E5" s="442"/>
      <c r="F5" s="442"/>
      <c r="G5" s="442"/>
      <c r="H5" s="442"/>
      <c r="I5" s="442"/>
      <c r="J5" s="442"/>
      <c r="K5" s="255"/>
      <c r="L5" s="25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22" ht="8.25" customHeight="1" x14ac:dyDescent="0.25">
      <c r="A6" s="295"/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</row>
    <row r="7" spans="1:22" ht="18.75" hidden="1" customHeight="1" x14ac:dyDescent="0.25">
      <c r="A7" s="295"/>
      <c r="B7" s="445" t="s">
        <v>205</v>
      </c>
      <c r="C7" s="296" t="s">
        <v>163</v>
      </c>
      <c r="D7" s="296" t="s">
        <v>164</v>
      </c>
      <c r="E7" s="296" t="s">
        <v>204</v>
      </c>
      <c r="F7" s="296" t="s">
        <v>166</v>
      </c>
      <c r="G7" s="296" t="s">
        <v>167</v>
      </c>
      <c r="H7" s="297" t="s">
        <v>216</v>
      </c>
      <c r="I7" s="295"/>
      <c r="J7" s="295"/>
      <c r="K7" s="295"/>
      <c r="L7" s="295"/>
      <c r="M7" s="295"/>
      <c r="N7" s="295"/>
      <c r="O7" s="295"/>
      <c r="P7" s="295"/>
      <c r="Q7" s="295"/>
    </row>
    <row r="8" spans="1:22" ht="15.75" hidden="1" customHeight="1" x14ac:dyDescent="0.25">
      <c r="A8" s="295"/>
      <c r="B8" s="446"/>
      <c r="C8" s="298">
        <f>C37</f>
        <v>0</v>
      </c>
      <c r="D8" s="299">
        <f>E37</f>
        <v>0</v>
      </c>
      <c r="E8" s="298">
        <f>G37</f>
        <v>0</v>
      </c>
      <c r="F8" s="299">
        <f>I37</f>
        <v>0</v>
      </c>
      <c r="G8" s="298">
        <f>K37</f>
        <v>0</v>
      </c>
      <c r="H8" s="298">
        <f>C38</f>
        <v>0</v>
      </c>
      <c r="I8" s="295"/>
      <c r="J8" s="295"/>
      <c r="K8" s="295"/>
      <c r="L8" s="295"/>
      <c r="M8" s="295"/>
      <c r="N8" s="295"/>
      <c r="O8" s="295"/>
      <c r="P8" s="295"/>
      <c r="Q8" s="295"/>
    </row>
    <row r="9" spans="1:22" ht="8.25" hidden="1" customHeight="1" x14ac:dyDescent="0.25">
      <c r="A9" s="295"/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</row>
    <row r="10" spans="1:22" hidden="1" x14ac:dyDescent="0.25">
      <c r="A10" s="295"/>
      <c r="B10" s="443" t="s">
        <v>181</v>
      </c>
      <c r="C10" s="437" t="s">
        <v>163</v>
      </c>
      <c r="D10" s="438"/>
      <c r="E10" s="437" t="s">
        <v>164</v>
      </c>
      <c r="F10" s="438"/>
      <c r="G10" s="437" t="s">
        <v>165</v>
      </c>
      <c r="H10" s="438"/>
      <c r="I10" s="437" t="s">
        <v>166</v>
      </c>
      <c r="J10" s="438"/>
      <c r="K10" s="437" t="s">
        <v>167</v>
      </c>
      <c r="L10" s="438"/>
      <c r="M10" s="443" t="s">
        <v>207</v>
      </c>
      <c r="N10" s="443"/>
      <c r="O10" s="443"/>
      <c r="P10" s="443"/>
      <c r="Q10" s="443"/>
      <c r="R10" s="435" t="s">
        <v>203</v>
      </c>
    </row>
    <row r="11" spans="1:22" hidden="1" x14ac:dyDescent="0.25">
      <c r="A11" s="295"/>
      <c r="B11" s="444"/>
      <c r="C11" s="300" t="s">
        <v>202</v>
      </c>
      <c r="D11" s="300" t="s">
        <v>25</v>
      </c>
      <c r="E11" s="300" t="s">
        <v>24</v>
      </c>
      <c r="F11" s="300" t="s">
        <v>25</v>
      </c>
      <c r="G11" s="300" t="s">
        <v>24</v>
      </c>
      <c r="H11" s="300" t="s">
        <v>25</v>
      </c>
      <c r="I11" s="300" t="s">
        <v>202</v>
      </c>
      <c r="J11" s="300" t="s">
        <v>25</v>
      </c>
      <c r="K11" s="300" t="s">
        <v>202</v>
      </c>
      <c r="L11" s="300" t="s">
        <v>25</v>
      </c>
      <c r="M11" s="300" t="s">
        <v>163</v>
      </c>
      <c r="N11" s="300" t="s">
        <v>164</v>
      </c>
      <c r="O11" s="300" t="s">
        <v>165</v>
      </c>
      <c r="P11" s="300" t="s">
        <v>166</v>
      </c>
      <c r="Q11" s="300" t="s">
        <v>167</v>
      </c>
      <c r="R11" s="436"/>
    </row>
    <row r="12" spans="1:22" hidden="1" x14ac:dyDescent="0.25">
      <c r="A12" s="295"/>
      <c r="B12" s="301" t="s">
        <v>183</v>
      </c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>
        <f>C12-D12</f>
        <v>0</v>
      </c>
      <c r="N12" s="301">
        <f>E12-F12</f>
        <v>0</v>
      </c>
      <c r="O12" s="301">
        <f>G12-H12</f>
        <v>0</v>
      </c>
      <c r="P12" s="301">
        <f>I12-J12</f>
        <v>0</v>
      </c>
      <c r="Q12" s="301">
        <f>K12-L12</f>
        <v>0</v>
      </c>
      <c r="R12" s="93"/>
    </row>
    <row r="13" spans="1:22" hidden="1" x14ac:dyDescent="0.25">
      <c r="A13" s="295"/>
      <c r="B13" s="301" t="s">
        <v>184</v>
      </c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>
        <f t="shared" ref="M13:M31" si="0">C13-D13</f>
        <v>0</v>
      </c>
      <c r="N13" s="301">
        <f t="shared" ref="N13:N31" si="1">E13-F13</f>
        <v>0</v>
      </c>
      <c r="O13" s="301">
        <f t="shared" ref="O13:O31" si="2">G13-H13</f>
        <v>0</v>
      </c>
      <c r="P13" s="301">
        <f t="shared" ref="P13:P31" si="3">I13-J13</f>
        <v>0</v>
      </c>
      <c r="Q13" s="301">
        <f t="shared" ref="Q13:Q31" si="4">K13-L13</f>
        <v>0</v>
      </c>
      <c r="R13" s="93"/>
    </row>
    <row r="14" spans="1:22" hidden="1" x14ac:dyDescent="0.25">
      <c r="A14" s="295"/>
      <c r="B14" s="301" t="s">
        <v>185</v>
      </c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>
        <f t="shared" si="0"/>
        <v>0</v>
      </c>
      <c r="N14" s="301">
        <f t="shared" si="1"/>
        <v>0</v>
      </c>
      <c r="O14" s="301">
        <f t="shared" si="2"/>
        <v>0</v>
      </c>
      <c r="P14" s="301">
        <f t="shared" si="3"/>
        <v>0</v>
      </c>
      <c r="Q14" s="301">
        <f t="shared" si="4"/>
        <v>0</v>
      </c>
      <c r="R14" s="93"/>
    </row>
    <row r="15" spans="1:22" hidden="1" x14ac:dyDescent="0.25">
      <c r="A15" s="295"/>
      <c r="B15" s="301" t="s">
        <v>186</v>
      </c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>
        <f t="shared" si="0"/>
        <v>0</v>
      </c>
      <c r="N15" s="301">
        <f t="shared" si="1"/>
        <v>0</v>
      </c>
      <c r="O15" s="301">
        <f t="shared" si="2"/>
        <v>0</v>
      </c>
      <c r="P15" s="301">
        <f t="shared" si="3"/>
        <v>0</v>
      </c>
      <c r="Q15" s="301">
        <f t="shared" si="4"/>
        <v>0</v>
      </c>
      <c r="R15" s="93"/>
    </row>
    <row r="16" spans="1:22" hidden="1" x14ac:dyDescent="0.25">
      <c r="A16" s="295"/>
      <c r="B16" s="301" t="s">
        <v>190</v>
      </c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>
        <f t="shared" si="0"/>
        <v>0</v>
      </c>
      <c r="N16" s="301">
        <f t="shared" si="1"/>
        <v>0</v>
      </c>
      <c r="O16" s="301">
        <f t="shared" si="2"/>
        <v>0</v>
      </c>
      <c r="P16" s="301">
        <f t="shared" si="3"/>
        <v>0</v>
      </c>
      <c r="Q16" s="301">
        <f t="shared" si="4"/>
        <v>0</v>
      </c>
      <c r="R16" s="93"/>
    </row>
    <row r="17" spans="1:18" hidden="1" x14ac:dyDescent="0.25">
      <c r="A17" s="295"/>
      <c r="B17" s="301" t="s">
        <v>187</v>
      </c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>
        <f t="shared" si="0"/>
        <v>0</v>
      </c>
      <c r="N17" s="301">
        <f t="shared" si="1"/>
        <v>0</v>
      </c>
      <c r="O17" s="301">
        <f t="shared" si="2"/>
        <v>0</v>
      </c>
      <c r="P17" s="301">
        <f t="shared" si="3"/>
        <v>0</v>
      </c>
      <c r="Q17" s="301">
        <f t="shared" si="4"/>
        <v>0</v>
      </c>
      <c r="R17" s="93"/>
    </row>
    <row r="18" spans="1:18" hidden="1" x14ac:dyDescent="0.25">
      <c r="A18" s="295"/>
      <c r="B18" s="301" t="s">
        <v>188</v>
      </c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>
        <f t="shared" si="0"/>
        <v>0</v>
      </c>
      <c r="N18" s="301">
        <f t="shared" si="1"/>
        <v>0</v>
      </c>
      <c r="O18" s="301">
        <f t="shared" si="2"/>
        <v>0</v>
      </c>
      <c r="P18" s="301">
        <f t="shared" si="3"/>
        <v>0</v>
      </c>
      <c r="Q18" s="301">
        <f t="shared" si="4"/>
        <v>0</v>
      </c>
      <c r="R18" s="93"/>
    </row>
    <row r="19" spans="1:18" hidden="1" x14ac:dyDescent="0.25">
      <c r="A19" s="295"/>
      <c r="B19" s="301" t="s">
        <v>189</v>
      </c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>
        <f t="shared" si="0"/>
        <v>0</v>
      </c>
      <c r="N19" s="301">
        <f t="shared" si="1"/>
        <v>0</v>
      </c>
      <c r="O19" s="301">
        <f t="shared" si="2"/>
        <v>0</v>
      </c>
      <c r="P19" s="301">
        <f t="shared" si="3"/>
        <v>0</v>
      </c>
      <c r="Q19" s="301">
        <f t="shared" si="4"/>
        <v>0</v>
      </c>
      <c r="R19" s="93"/>
    </row>
    <row r="20" spans="1:18" hidden="1" x14ac:dyDescent="0.25">
      <c r="A20" s="295"/>
      <c r="B20" s="301" t="s">
        <v>196</v>
      </c>
      <c r="C20" s="301"/>
      <c r="D20" s="301"/>
      <c r="E20" s="301"/>
      <c r="F20" s="301"/>
      <c r="G20" s="301"/>
      <c r="H20" s="301"/>
      <c r="I20" s="301"/>
      <c r="J20" s="301"/>
      <c r="K20" s="301"/>
      <c r="L20" s="301"/>
      <c r="M20" s="301">
        <f t="shared" si="0"/>
        <v>0</v>
      </c>
      <c r="N20" s="301">
        <f t="shared" si="1"/>
        <v>0</v>
      </c>
      <c r="O20" s="301">
        <f t="shared" si="2"/>
        <v>0</v>
      </c>
      <c r="P20" s="301">
        <f t="shared" si="3"/>
        <v>0</v>
      </c>
      <c r="Q20" s="301">
        <f t="shared" si="4"/>
        <v>0</v>
      </c>
      <c r="R20" s="93"/>
    </row>
    <row r="21" spans="1:18" hidden="1" x14ac:dyDescent="0.25">
      <c r="A21" s="295"/>
      <c r="B21" s="301" t="s">
        <v>191</v>
      </c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>
        <f t="shared" si="0"/>
        <v>0</v>
      </c>
      <c r="N21" s="301">
        <f t="shared" si="1"/>
        <v>0</v>
      </c>
      <c r="O21" s="301">
        <f t="shared" si="2"/>
        <v>0</v>
      </c>
      <c r="P21" s="301">
        <f t="shared" si="3"/>
        <v>0</v>
      </c>
      <c r="Q21" s="301">
        <f t="shared" si="4"/>
        <v>0</v>
      </c>
      <c r="R21" s="93"/>
    </row>
    <row r="22" spans="1:18" hidden="1" x14ac:dyDescent="0.25">
      <c r="A22" s="295"/>
      <c r="B22" s="301" t="s">
        <v>192</v>
      </c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>
        <f t="shared" si="0"/>
        <v>0</v>
      </c>
      <c r="N22" s="301">
        <f t="shared" si="1"/>
        <v>0</v>
      </c>
      <c r="O22" s="301">
        <f t="shared" si="2"/>
        <v>0</v>
      </c>
      <c r="P22" s="301">
        <f t="shared" si="3"/>
        <v>0</v>
      </c>
      <c r="Q22" s="301">
        <f t="shared" si="4"/>
        <v>0</v>
      </c>
      <c r="R22" s="93"/>
    </row>
    <row r="23" spans="1:18" hidden="1" x14ac:dyDescent="0.25">
      <c r="A23" s="295"/>
      <c r="B23" s="301" t="s">
        <v>193</v>
      </c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>
        <f t="shared" si="0"/>
        <v>0</v>
      </c>
      <c r="N23" s="301">
        <f t="shared" si="1"/>
        <v>0</v>
      </c>
      <c r="O23" s="301">
        <f t="shared" si="2"/>
        <v>0</v>
      </c>
      <c r="P23" s="301">
        <f t="shared" si="3"/>
        <v>0</v>
      </c>
      <c r="Q23" s="301">
        <f t="shared" si="4"/>
        <v>0</v>
      </c>
      <c r="R23" s="93"/>
    </row>
    <row r="24" spans="1:18" hidden="1" x14ac:dyDescent="0.25">
      <c r="A24" s="295"/>
      <c r="B24" s="301" t="s">
        <v>194</v>
      </c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>
        <f t="shared" si="0"/>
        <v>0</v>
      </c>
      <c r="N24" s="301">
        <f t="shared" si="1"/>
        <v>0</v>
      </c>
      <c r="O24" s="301">
        <f t="shared" si="2"/>
        <v>0</v>
      </c>
      <c r="P24" s="301">
        <f t="shared" si="3"/>
        <v>0</v>
      </c>
      <c r="Q24" s="301">
        <f t="shared" si="4"/>
        <v>0</v>
      </c>
      <c r="R24" s="93"/>
    </row>
    <row r="25" spans="1:18" hidden="1" x14ac:dyDescent="0.25">
      <c r="A25" s="295"/>
      <c r="B25" s="301" t="s">
        <v>195</v>
      </c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>
        <f t="shared" si="0"/>
        <v>0</v>
      </c>
      <c r="N25" s="301">
        <f t="shared" si="1"/>
        <v>0</v>
      </c>
      <c r="O25" s="301">
        <f t="shared" si="2"/>
        <v>0</v>
      </c>
      <c r="P25" s="301">
        <f t="shared" si="3"/>
        <v>0</v>
      </c>
      <c r="Q25" s="301">
        <f t="shared" si="4"/>
        <v>0</v>
      </c>
      <c r="R25" s="93"/>
    </row>
    <row r="26" spans="1:18" hidden="1" x14ac:dyDescent="0.25">
      <c r="A26" s="295"/>
      <c r="B26" s="301" t="s">
        <v>197</v>
      </c>
      <c r="C26" s="301"/>
      <c r="D26" s="301"/>
      <c r="E26" s="301"/>
      <c r="F26" s="301"/>
      <c r="G26" s="301"/>
      <c r="H26" s="301"/>
      <c r="I26" s="301"/>
      <c r="J26" s="301"/>
      <c r="K26" s="301"/>
      <c r="L26" s="301"/>
      <c r="M26" s="301">
        <f t="shared" si="0"/>
        <v>0</v>
      </c>
      <c r="N26" s="301">
        <f t="shared" si="1"/>
        <v>0</v>
      </c>
      <c r="O26" s="301">
        <f t="shared" si="2"/>
        <v>0</v>
      </c>
      <c r="P26" s="301">
        <f t="shared" si="3"/>
        <v>0</v>
      </c>
      <c r="Q26" s="301">
        <f t="shared" si="4"/>
        <v>0</v>
      </c>
      <c r="R26" s="93"/>
    </row>
    <row r="27" spans="1:18" hidden="1" x14ac:dyDescent="0.25">
      <c r="A27" s="295"/>
      <c r="B27" s="301" t="s">
        <v>198</v>
      </c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>
        <f t="shared" si="0"/>
        <v>0</v>
      </c>
      <c r="N27" s="301">
        <f t="shared" si="1"/>
        <v>0</v>
      </c>
      <c r="O27" s="301">
        <f t="shared" si="2"/>
        <v>0</v>
      </c>
      <c r="P27" s="301">
        <f t="shared" si="3"/>
        <v>0</v>
      </c>
      <c r="Q27" s="301">
        <f t="shared" si="4"/>
        <v>0</v>
      </c>
      <c r="R27" s="93"/>
    </row>
    <row r="28" spans="1:18" hidden="1" x14ac:dyDescent="0.25">
      <c r="A28" s="295"/>
      <c r="B28" s="301" t="s">
        <v>199</v>
      </c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>
        <f t="shared" si="0"/>
        <v>0</v>
      </c>
      <c r="N28" s="301">
        <f t="shared" si="1"/>
        <v>0</v>
      </c>
      <c r="O28" s="301">
        <f t="shared" si="2"/>
        <v>0</v>
      </c>
      <c r="P28" s="301">
        <f t="shared" si="3"/>
        <v>0</v>
      </c>
      <c r="Q28" s="301">
        <f t="shared" si="4"/>
        <v>0</v>
      </c>
      <c r="R28" s="93"/>
    </row>
    <row r="29" spans="1:18" hidden="1" x14ac:dyDescent="0.25">
      <c r="A29" s="295"/>
      <c r="B29" s="301" t="s">
        <v>200</v>
      </c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>
        <f t="shared" si="0"/>
        <v>0</v>
      </c>
      <c r="N29" s="301">
        <f t="shared" si="1"/>
        <v>0</v>
      </c>
      <c r="O29" s="301">
        <f t="shared" si="2"/>
        <v>0</v>
      </c>
      <c r="P29" s="301">
        <f t="shared" si="3"/>
        <v>0</v>
      </c>
      <c r="Q29" s="301">
        <f t="shared" si="4"/>
        <v>0</v>
      </c>
      <c r="R29" s="93"/>
    </row>
    <row r="30" spans="1:18" hidden="1" x14ac:dyDescent="0.25">
      <c r="A30" s="295"/>
      <c r="B30" s="301" t="s">
        <v>201</v>
      </c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>
        <f t="shared" si="0"/>
        <v>0</v>
      </c>
      <c r="N30" s="301">
        <f t="shared" si="1"/>
        <v>0</v>
      </c>
      <c r="O30" s="301">
        <f t="shared" si="2"/>
        <v>0</v>
      </c>
      <c r="P30" s="301">
        <f t="shared" si="3"/>
        <v>0</v>
      </c>
      <c r="Q30" s="301">
        <f t="shared" si="4"/>
        <v>0</v>
      </c>
      <c r="R30" s="93"/>
    </row>
    <row r="31" spans="1:18" hidden="1" x14ac:dyDescent="0.25">
      <c r="A31" s="295"/>
      <c r="B31" s="301" t="s">
        <v>170</v>
      </c>
      <c r="C31" s="301"/>
      <c r="D31" s="301"/>
      <c r="E31" s="301"/>
      <c r="F31" s="301"/>
      <c r="G31" s="301"/>
      <c r="H31" s="301"/>
      <c r="I31" s="301"/>
      <c r="J31" s="301"/>
      <c r="K31" s="301"/>
      <c r="L31" s="301"/>
      <c r="M31" s="301">
        <f t="shared" si="0"/>
        <v>0</v>
      </c>
      <c r="N31" s="301">
        <f t="shared" si="1"/>
        <v>0</v>
      </c>
      <c r="O31" s="301">
        <f t="shared" si="2"/>
        <v>0</v>
      </c>
      <c r="P31" s="301">
        <f t="shared" si="3"/>
        <v>0</v>
      </c>
      <c r="Q31" s="301">
        <f t="shared" si="4"/>
        <v>0</v>
      </c>
      <c r="R31" s="93"/>
    </row>
    <row r="32" spans="1:18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5"/>
      <c r="O32" s="295"/>
      <c r="P32" s="295"/>
      <c r="Q32" s="295"/>
    </row>
    <row r="33" spans="1:17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Q33" s="295"/>
    </row>
    <row r="34" spans="1:17" ht="15.75" x14ac:dyDescent="0.25">
      <c r="A34" s="295"/>
      <c r="B34" s="447" t="s">
        <v>205</v>
      </c>
      <c r="C34" s="448" t="s">
        <v>163</v>
      </c>
      <c r="D34" s="448"/>
      <c r="E34" s="448" t="s">
        <v>164</v>
      </c>
      <c r="F34" s="448"/>
      <c r="G34" s="448" t="s">
        <v>204</v>
      </c>
      <c r="H34" s="448"/>
      <c r="I34" s="448" t="s">
        <v>166</v>
      </c>
      <c r="J34" s="448"/>
      <c r="K34" s="448" t="s">
        <v>167</v>
      </c>
      <c r="L34" s="448"/>
      <c r="M34" s="295"/>
      <c r="N34" s="295"/>
      <c r="O34" s="295"/>
      <c r="P34" s="295"/>
      <c r="Q34" s="295"/>
    </row>
    <row r="35" spans="1:17" ht="15.75" x14ac:dyDescent="0.25">
      <c r="A35" s="295"/>
      <c r="B35" s="447"/>
      <c r="C35" s="290" t="s">
        <v>24</v>
      </c>
      <c r="D35" s="291" t="s">
        <v>209</v>
      </c>
      <c r="E35" s="290" t="s">
        <v>24</v>
      </c>
      <c r="F35" s="291" t="s">
        <v>209</v>
      </c>
      <c r="G35" s="290" t="s">
        <v>24</v>
      </c>
      <c r="H35" s="291" t="s">
        <v>209</v>
      </c>
      <c r="I35" s="290" t="s">
        <v>24</v>
      </c>
      <c r="J35" s="291" t="s">
        <v>209</v>
      </c>
      <c r="K35" s="290" t="s">
        <v>24</v>
      </c>
      <c r="L35" s="291" t="s">
        <v>209</v>
      </c>
      <c r="M35" s="295"/>
      <c r="N35" s="295"/>
      <c r="O35" s="295"/>
      <c r="P35" s="295"/>
      <c r="Q35" s="295"/>
    </row>
    <row r="36" spans="1:17" ht="15.75" x14ac:dyDescent="0.25">
      <c r="A36" s="295"/>
      <c r="B36" s="447"/>
      <c r="C36" s="292">
        <f>IF($C$11="","",SUMIFS('CESTAS MONTADAS'!$G:$G,'CESTAS MONTADAS'!$F:$F,"Entrada"))</f>
        <v>0</v>
      </c>
      <c r="D36" s="292">
        <f>IF($D$11="","",SUMIFS('CESTAS MONTADAS'!$G:$G,'CESTAS MONTADAS'!$F:$F,"Saída"))</f>
        <v>0</v>
      </c>
      <c r="E36" s="292">
        <f>IF($E$11="","",SUMIFS('CESTAS MONTADAS'!$H:$H,'CESTAS MONTADAS'!$F:$F,"Entrada"))</f>
        <v>0</v>
      </c>
      <c r="F36" s="292">
        <f>IF($F$11="","",SUMIFS('CESTAS MONTADAS'!$H:$H,'CESTAS MONTADAS'!$F:$F,"Saída"))</f>
        <v>0</v>
      </c>
      <c r="G36" s="292">
        <f>IF($G$11="","",SUMIFS('CESTAS MONTADAS'!$I:$I,'CESTAS MONTADAS'!$F:$F,"Entrada"))</f>
        <v>0</v>
      </c>
      <c r="H36" s="292">
        <f>IF($H$11="","",SUMIFS('CESTAS MONTADAS'!$I:$I,'CESTAS MONTADAS'!$F:$F,"Saída"))</f>
        <v>0</v>
      </c>
      <c r="I36" s="292">
        <f>IF($I$11="","",SUMIFS('CESTAS MONTADAS'!$J:$J,'CESTAS MONTADAS'!$F:$F,"Entrada"))</f>
        <v>0</v>
      </c>
      <c r="J36" s="292">
        <f>IF($J$11="","",SUMIFS('CESTAS MONTADAS'!$J:$J,'CESTAS MONTADAS'!$F:$F,"Saída"))</f>
        <v>0</v>
      </c>
      <c r="K36" s="292">
        <f>IF($K$11="","",SUMIFS('CESTAS MONTADAS'!$K:$K,'CESTAS MONTADAS'!$F:$F,"Entrada"))</f>
        <v>0</v>
      </c>
      <c r="L36" s="292">
        <f>IF($L$11="","",SUMIFS('CESTAS MONTADAS'!$K:$K,'CESTAS MONTADAS'!$F:$F,"Saída"))</f>
        <v>0</v>
      </c>
      <c r="M36" s="295"/>
      <c r="N36" s="295"/>
      <c r="O36" s="295"/>
      <c r="P36" s="295"/>
      <c r="Q36" s="295"/>
    </row>
    <row r="37" spans="1:17" ht="18.75" x14ac:dyDescent="0.3">
      <c r="A37" s="295"/>
      <c r="B37" s="293" t="s">
        <v>214</v>
      </c>
      <c r="C37" s="449">
        <f>C36-D36</f>
        <v>0</v>
      </c>
      <c r="D37" s="450"/>
      <c r="E37" s="449">
        <f>E36-F36</f>
        <v>0</v>
      </c>
      <c r="F37" s="450"/>
      <c r="G37" s="449">
        <f>G36-H36</f>
        <v>0</v>
      </c>
      <c r="H37" s="450"/>
      <c r="I37" s="449">
        <f t="shared" ref="I37" si="5">I36-J36</f>
        <v>0</v>
      </c>
      <c r="J37" s="450"/>
      <c r="K37" s="449">
        <f t="shared" ref="K37" si="6">K36-L36</f>
        <v>0</v>
      </c>
      <c r="L37" s="450"/>
      <c r="M37" s="295"/>
      <c r="N37" s="295"/>
      <c r="O37" s="295"/>
      <c r="P37" s="295"/>
      <c r="Q37" s="295"/>
    </row>
    <row r="38" spans="1:17" ht="18.75" x14ac:dyDescent="0.3">
      <c r="A38" s="295"/>
      <c r="B38" s="293" t="s">
        <v>215</v>
      </c>
      <c r="C38" s="439">
        <f>SUM(C37:L37)</f>
        <v>0</v>
      </c>
      <c r="D38" s="440"/>
      <c r="E38" s="440"/>
      <c r="F38" s="440"/>
      <c r="G38" s="440"/>
      <c r="H38" s="440"/>
      <c r="I38" s="440"/>
      <c r="J38" s="440"/>
      <c r="K38" s="440"/>
      <c r="L38" s="441"/>
      <c r="M38" s="295"/>
      <c r="N38" s="295"/>
      <c r="O38" s="295"/>
      <c r="P38" s="295"/>
      <c r="Q38" s="295"/>
    </row>
    <row r="39" spans="1:17" x14ac:dyDescent="0.25">
      <c r="A39" s="295"/>
      <c r="B39" s="295"/>
      <c r="C39" s="295"/>
      <c r="D39" s="295"/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295"/>
      <c r="Q39" s="295"/>
    </row>
    <row r="40" spans="1:17" hidden="1" x14ac:dyDescent="0.25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</row>
  </sheetData>
  <sheetProtection algorithmName="SHA-512" hashValue="SavUjyWH3Lp30V5D5mh+J0qq2cDyr3DEsdD/XNUMjjiQWmJhnLRp5lMNJ9ckbkKcqZQ3UUoGN3JDOguJoEltzg==" saltValue="9mUwxJMF0vB1AvR/ir3FCg==" spinCount="100000" sheet="1" objects="1" scenarios="1" selectLockedCells="1" selectUnlockedCells="1"/>
  <sortState ref="B10:B29">
    <sortCondition ref="B9"/>
  </sortState>
  <mergeCells count="22">
    <mergeCell ref="C38:L38"/>
    <mergeCell ref="A4:J5"/>
    <mergeCell ref="M10:Q10"/>
    <mergeCell ref="B10:B11"/>
    <mergeCell ref="B7:B8"/>
    <mergeCell ref="B34:B36"/>
    <mergeCell ref="C34:D34"/>
    <mergeCell ref="E34:F34"/>
    <mergeCell ref="G34:H34"/>
    <mergeCell ref="I34:J34"/>
    <mergeCell ref="K34:L34"/>
    <mergeCell ref="C37:D37"/>
    <mergeCell ref="E37:F37"/>
    <mergeCell ref="G37:H37"/>
    <mergeCell ref="I37:J37"/>
    <mergeCell ref="K37:L37"/>
    <mergeCell ref="R10:R11"/>
    <mergeCell ref="C10:D10"/>
    <mergeCell ref="E10:F10"/>
    <mergeCell ref="G10:H10"/>
    <mergeCell ref="I10:J10"/>
    <mergeCell ref="K10:L10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6:E36 F36:L36 C37:C38 E37 G37 I37 K37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Z78"/>
  <sheetViews>
    <sheetView showGridLines="0" showRowColHeaders="0" tabSelected="1" zoomScale="85" zoomScaleNormal="85" workbookViewId="0">
      <selection activeCell="W31" sqref="W31"/>
    </sheetView>
  </sheetViews>
  <sheetFormatPr defaultColWidth="0" defaultRowHeight="0" customHeight="1" zeroHeight="1" x14ac:dyDescent="0.25"/>
  <cols>
    <col min="1" max="1" width="2.85546875" customWidth="1"/>
    <col min="2" max="4" width="12.140625" customWidth="1"/>
    <col min="5" max="5" width="3.7109375" style="33" customWidth="1"/>
    <col min="6" max="8" width="11.85546875" customWidth="1"/>
    <col min="9" max="9" width="3.5703125" customWidth="1"/>
    <col min="10" max="10" width="12.5703125" customWidth="1"/>
    <col min="11" max="12" width="12" customWidth="1"/>
    <col min="13" max="13" width="3.42578125" customWidth="1"/>
    <col min="14" max="16" width="12" customWidth="1"/>
    <col min="17" max="17" width="3.7109375" customWidth="1"/>
    <col min="18" max="20" width="12.28515625" customWidth="1"/>
    <col min="21" max="21" width="3.5703125" customWidth="1"/>
    <col min="22" max="22" width="3.140625" customWidth="1"/>
    <col min="23" max="23" width="17" customWidth="1"/>
    <col min="24" max="24" width="19" customWidth="1"/>
    <col min="25" max="25" width="3.42578125" customWidth="1"/>
  </cols>
  <sheetData>
    <row r="1" spans="1:26" s="14" customFormat="1" ht="15.75" customHeight="1" x14ac:dyDescent="0.25">
      <c r="E1" s="30"/>
    </row>
    <row r="2" spans="1:26" s="14" customFormat="1" ht="15" x14ac:dyDescent="0.25">
      <c r="E2" s="30"/>
    </row>
    <row r="3" spans="1:26" s="15" customFormat="1" ht="9.75" customHeight="1" x14ac:dyDescent="0.25">
      <c r="E3" s="31"/>
    </row>
    <row r="4" spans="1:26" ht="9.75" customHeight="1" x14ac:dyDescent="0.25">
      <c r="A4" s="23"/>
      <c r="B4" s="23"/>
      <c r="C4" s="23"/>
      <c r="D4" s="23"/>
      <c r="E4" s="32"/>
      <c r="F4" s="23"/>
      <c r="G4" s="23"/>
      <c r="H4" s="23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x14ac:dyDescent="0.25">
      <c r="A5" s="23"/>
      <c r="B5" s="23"/>
      <c r="C5" s="23"/>
      <c r="D5" s="23"/>
      <c r="E5" s="32"/>
      <c r="F5" s="23"/>
      <c r="G5" s="23"/>
      <c r="H5" s="23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8" customHeight="1" x14ac:dyDescent="0.25"/>
    <row r="7" spans="1:26" ht="18" x14ac:dyDescent="0.25">
      <c r="B7" s="264" t="s">
        <v>174</v>
      </c>
      <c r="C7" s="265">
        <f>MAX('ABASTECIMENTO POSTOS'!B:B)+1</f>
        <v>1</v>
      </c>
      <c r="D7" s="266"/>
      <c r="E7" s="267"/>
      <c r="F7" s="452" t="s">
        <v>173</v>
      </c>
      <c r="G7" s="452"/>
      <c r="H7" s="265" t="str">
        <f>CONCATENATE(H8,F8)</f>
        <v>0LTDC</v>
      </c>
      <c r="I7" s="266"/>
      <c r="J7" s="266"/>
      <c r="W7" s="281" t="s">
        <v>211</v>
      </c>
      <c r="X7" s="282"/>
    </row>
    <row r="8" spans="1:26" ht="18" customHeight="1" x14ac:dyDescent="0.25">
      <c r="F8" s="244" t="s">
        <v>172</v>
      </c>
      <c r="G8" s="244"/>
      <c r="H8" s="244">
        <f>C7-1</f>
        <v>0</v>
      </c>
      <c r="Q8" s="261"/>
      <c r="W8" s="283" t="s">
        <v>145</v>
      </c>
      <c r="X8" s="283" t="s">
        <v>119</v>
      </c>
    </row>
    <row r="9" spans="1:26" ht="17.25" customHeight="1" x14ac:dyDescent="0.25">
      <c r="B9" s="42" t="s">
        <v>69</v>
      </c>
      <c r="C9" s="47"/>
      <c r="E9" s="42" t="s">
        <v>70</v>
      </c>
      <c r="F9" s="48"/>
      <c r="H9" s="453" t="s">
        <v>9</v>
      </c>
      <c r="I9" s="453"/>
      <c r="J9" s="47"/>
      <c r="M9" s="262"/>
      <c r="Q9" s="261"/>
      <c r="W9" s="284" t="s">
        <v>163</v>
      </c>
      <c r="X9" s="285">
        <f>B15+F15+J15+N15+R15+B23+F23+J23+N23+R23+B31+F31+J31+N31+R31+B39+F39+J39+N39+R39</f>
        <v>0</v>
      </c>
    </row>
    <row r="10" spans="1:26" ht="15.75" x14ac:dyDescent="0.25">
      <c r="B10" s="241"/>
      <c r="C10" s="243"/>
      <c r="E10"/>
      <c r="I10" s="16"/>
      <c r="K10" s="16"/>
      <c r="L10" s="16"/>
      <c r="W10" s="284" t="s">
        <v>164</v>
      </c>
      <c r="X10" s="285">
        <f>C15+G15+K15+O15+S15+C23+G23+K23+O23+S23+C31+G31+K31+O31+S31+C39+G39+K39+O39+S39</f>
        <v>0</v>
      </c>
    </row>
    <row r="11" spans="1:26" ht="20.25" x14ac:dyDescent="0.3">
      <c r="A11" s="202"/>
      <c r="B11" s="454" t="s">
        <v>171</v>
      </c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W11" s="284" t="s">
        <v>165</v>
      </c>
      <c r="X11" s="285">
        <f>D15+H15+L15+P15+T15+D23+H23+L23+P23+T23+D31+H31+L31+P31+T31+D39+H39+L39+P39+T39</f>
        <v>0</v>
      </c>
    </row>
    <row r="12" spans="1:26" ht="15.75" x14ac:dyDescent="0.25">
      <c r="B12" s="276" t="s">
        <v>206</v>
      </c>
      <c r="C12">
        <f>'ESTOQUE PRINCIPAL CESTAS'!M12</f>
        <v>0</v>
      </c>
      <c r="E12"/>
      <c r="W12" s="284" t="s">
        <v>166</v>
      </c>
      <c r="X12" s="285">
        <f>B17+F17+J17+N17+R17+B25+F25+J25+N25+R25+B33+F33+J33+N33+R33+B41+F41+J41+N41+R41</f>
        <v>0</v>
      </c>
    </row>
    <row r="13" spans="1:26" ht="15.75" x14ac:dyDescent="0.25">
      <c r="B13" s="455" t="s">
        <v>183</v>
      </c>
      <c r="C13" s="455"/>
      <c r="D13" s="455"/>
      <c r="E13"/>
      <c r="F13" s="455" t="s">
        <v>184</v>
      </c>
      <c r="G13" s="455"/>
      <c r="H13" s="455"/>
      <c r="J13" s="455" t="s">
        <v>185</v>
      </c>
      <c r="K13" s="455"/>
      <c r="L13" s="455"/>
      <c r="N13" s="456" t="s">
        <v>186</v>
      </c>
      <c r="O13" s="456"/>
      <c r="P13" s="456"/>
      <c r="R13" s="455" t="s">
        <v>190</v>
      </c>
      <c r="S13" s="455"/>
      <c r="T13" s="455"/>
      <c r="W13" s="284" t="s">
        <v>167</v>
      </c>
      <c r="X13" s="285">
        <f>C17+G17+K17+O17+S17+C25+G25+K25+O25+S25+C33+G33+K33+O33+S33+C41+G41+K41+O41+S41</f>
        <v>0</v>
      </c>
    </row>
    <row r="14" spans="1:26" ht="15" x14ac:dyDescent="0.25">
      <c r="B14" s="260" t="s">
        <v>163</v>
      </c>
      <c r="C14" s="260" t="s">
        <v>164</v>
      </c>
      <c r="D14" s="260" t="s">
        <v>165</v>
      </c>
      <c r="E14"/>
      <c r="F14" s="260" t="s">
        <v>163</v>
      </c>
      <c r="G14" s="260" t="s">
        <v>164</v>
      </c>
      <c r="H14" s="260" t="s">
        <v>165</v>
      </c>
      <c r="J14" s="260" t="s">
        <v>163</v>
      </c>
      <c r="K14" s="260" t="s">
        <v>164</v>
      </c>
      <c r="L14" s="260" t="s">
        <v>165</v>
      </c>
      <c r="N14" s="260" t="s">
        <v>163</v>
      </c>
      <c r="O14" s="260" t="s">
        <v>164</v>
      </c>
      <c r="P14" s="260" t="s">
        <v>165</v>
      </c>
      <c r="R14" s="260" t="s">
        <v>163</v>
      </c>
      <c r="S14" s="260" t="s">
        <v>164</v>
      </c>
      <c r="T14" s="260" t="s">
        <v>165</v>
      </c>
      <c r="W14" s="451" t="s">
        <v>212</v>
      </c>
      <c r="X14" s="451">
        <f>SUM(X9:X13)</f>
        <v>0</v>
      </c>
    </row>
    <row r="15" spans="1:26" ht="15" x14ac:dyDescent="0.25">
      <c r="B15" s="288"/>
      <c r="C15" s="288"/>
      <c r="D15" s="288"/>
      <c r="E15"/>
      <c r="F15" s="288"/>
      <c r="G15" s="288"/>
      <c r="H15" s="288"/>
      <c r="J15" s="288"/>
      <c r="K15" s="288"/>
      <c r="L15" s="288"/>
      <c r="N15" s="288"/>
      <c r="O15" s="288"/>
      <c r="P15" s="288"/>
      <c r="R15" s="288"/>
      <c r="S15" s="288"/>
      <c r="T15" s="288"/>
      <c r="W15" s="451"/>
      <c r="X15" s="451"/>
      <c r="Y15" s="258"/>
    </row>
    <row r="16" spans="1:26" ht="15" x14ac:dyDescent="0.25">
      <c r="B16" s="260" t="s">
        <v>166</v>
      </c>
      <c r="C16" s="260" t="s">
        <v>167</v>
      </c>
      <c r="D16" s="258"/>
      <c r="F16" s="260" t="s">
        <v>166</v>
      </c>
      <c r="G16" s="260" t="s">
        <v>167</v>
      </c>
      <c r="H16" s="258"/>
      <c r="J16" s="260" t="s">
        <v>166</v>
      </c>
      <c r="K16" s="260" t="s">
        <v>167</v>
      </c>
      <c r="L16" s="258"/>
      <c r="N16" s="260" t="s">
        <v>166</v>
      </c>
      <c r="O16" s="260" t="s">
        <v>167</v>
      </c>
      <c r="P16" s="258"/>
      <c r="R16" s="260" t="s">
        <v>166</v>
      </c>
      <c r="S16" s="260" t="s">
        <v>167</v>
      </c>
      <c r="T16" s="258"/>
      <c r="Y16" s="258"/>
    </row>
    <row r="17" spans="2:24" ht="14.45" customHeight="1" x14ac:dyDescent="0.25">
      <c r="B17" s="288"/>
      <c r="C17" s="288"/>
      <c r="D17" s="258"/>
      <c r="F17" s="288"/>
      <c r="G17" s="288"/>
      <c r="H17" s="258"/>
      <c r="J17" s="288"/>
      <c r="K17" s="288"/>
      <c r="L17" s="258"/>
      <c r="N17" s="288"/>
      <c r="O17" s="288"/>
      <c r="P17" s="258"/>
      <c r="R17" s="288"/>
      <c r="S17" s="288"/>
      <c r="T17" s="258"/>
    </row>
    <row r="18" spans="2:24" ht="16.5" customHeight="1" x14ac:dyDescent="0.3">
      <c r="W18" s="459" t="s">
        <v>213</v>
      </c>
      <c r="X18" s="459"/>
    </row>
    <row r="19" spans="2:24" ht="14.45" customHeight="1" x14ac:dyDescent="0.25">
      <c r="B19" s="257" t="s">
        <v>82</v>
      </c>
      <c r="C19" s="457">
        <f>B15+C15+D15+B17+C17</f>
        <v>0</v>
      </c>
      <c r="D19" s="458"/>
      <c r="F19" s="257" t="s">
        <v>82</v>
      </c>
      <c r="G19" s="457">
        <f>F15+G15+H15+F17+G17</f>
        <v>0</v>
      </c>
      <c r="H19" s="458"/>
      <c r="J19" s="257" t="s">
        <v>82</v>
      </c>
      <c r="K19" s="457">
        <f>J15+K15+L15+J17+K17</f>
        <v>0</v>
      </c>
      <c r="L19" s="458"/>
      <c r="N19" s="257" t="s">
        <v>82</v>
      </c>
      <c r="O19" s="457">
        <f>N15+O15+P15+N17+O17</f>
        <v>0</v>
      </c>
      <c r="P19" s="458"/>
      <c r="R19" s="257" t="s">
        <v>82</v>
      </c>
      <c r="S19" s="457">
        <f>R15+S15+T15+R17+S17</f>
        <v>0</v>
      </c>
      <c r="T19" s="458"/>
      <c r="W19" s="283" t="s">
        <v>145</v>
      </c>
      <c r="X19" s="283" t="s">
        <v>119</v>
      </c>
    </row>
    <row r="20" spans="2:24" ht="14.45" customHeight="1" x14ac:dyDescent="0.25">
      <c r="W20" s="284" t="s">
        <v>163</v>
      </c>
      <c r="X20" s="285">
        <f>'ESTOQUE PRINCIPAL CESTAS'!C8</f>
        <v>0</v>
      </c>
    </row>
    <row r="21" spans="2:24" ht="14.45" customHeight="1" x14ac:dyDescent="0.25">
      <c r="B21" s="455" t="s">
        <v>187</v>
      </c>
      <c r="C21" s="455"/>
      <c r="D21" s="455"/>
      <c r="E21"/>
      <c r="F21" s="455" t="s">
        <v>188</v>
      </c>
      <c r="G21" s="455"/>
      <c r="H21" s="455"/>
      <c r="J21" s="455" t="s">
        <v>189</v>
      </c>
      <c r="K21" s="455"/>
      <c r="L21" s="455"/>
      <c r="N21" s="455" t="s">
        <v>196</v>
      </c>
      <c r="O21" s="455"/>
      <c r="P21" s="455"/>
      <c r="R21" s="455" t="s">
        <v>191</v>
      </c>
      <c r="S21" s="455"/>
      <c r="T21" s="455"/>
      <c r="W21" s="284" t="s">
        <v>164</v>
      </c>
      <c r="X21" s="285">
        <f>'ESTOQUE PRINCIPAL CESTAS'!D8</f>
        <v>0</v>
      </c>
    </row>
    <row r="22" spans="2:24" ht="14.45" customHeight="1" x14ac:dyDescent="0.25">
      <c r="B22" s="260" t="s">
        <v>163</v>
      </c>
      <c r="C22" s="260" t="s">
        <v>164</v>
      </c>
      <c r="D22" s="260" t="s">
        <v>165</v>
      </c>
      <c r="E22"/>
      <c r="F22" s="260" t="s">
        <v>163</v>
      </c>
      <c r="G22" s="260" t="s">
        <v>164</v>
      </c>
      <c r="H22" s="260" t="s">
        <v>165</v>
      </c>
      <c r="J22" s="260" t="s">
        <v>163</v>
      </c>
      <c r="K22" s="260" t="s">
        <v>164</v>
      </c>
      <c r="L22" s="260" t="s">
        <v>165</v>
      </c>
      <c r="N22" s="260" t="s">
        <v>163</v>
      </c>
      <c r="O22" s="260" t="s">
        <v>164</v>
      </c>
      <c r="P22" s="260" t="s">
        <v>165</v>
      </c>
      <c r="R22" s="260" t="s">
        <v>163</v>
      </c>
      <c r="S22" s="260" t="s">
        <v>164</v>
      </c>
      <c r="T22" s="260" t="s">
        <v>165</v>
      </c>
      <c r="W22" s="284" t="s">
        <v>165</v>
      </c>
      <c r="X22" s="285">
        <f>'ESTOQUE PRINCIPAL CESTAS'!E8</f>
        <v>0</v>
      </c>
    </row>
    <row r="23" spans="2:24" ht="14.45" customHeight="1" x14ac:dyDescent="0.25">
      <c r="B23" s="288"/>
      <c r="C23" s="288"/>
      <c r="D23" s="288"/>
      <c r="E23"/>
      <c r="F23" s="288"/>
      <c r="G23" s="288"/>
      <c r="H23" s="288"/>
      <c r="J23" s="288"/>
      <c r="K23" s="288"/>
      <c r="L23" s="288"/>
      <c r="N23" s="288"/>
      <c r="O23" s="288"/>
      <c r="P23" s="288"/>
      <c r="R23" s="288"/>
      <c r="S23" s="288"/>
      <c r="T23" s="288"/>
      <c r="W23" s="284" t="s">
        <v>166</v>
      </c>
      <c r="X23" s="285">
        <f>'ESTOQUE PRINCIPAL CESTAS'!F8</f>
        <v>0</v>
      </c>
    </row>
    <row r="24" spans="2:24" ht="14.45" customHeight="1" x14ac:dyDescent="0.25">
      <c r="B24" s="260" t="s">
        <v>166</v>
      </c>
      <c r="C24" s="260" t="s">
        <v>167</v>
      </c>
      <c r="D24" s="258"/>
      <c r="F24" s="260" t="s">
        <v>166</v>
      </c>
      <c r="G24" s="260" t="s">
        <v>167</v>
      </c>
      <c r="H24" s="258"/>
      <c r="J24" s="260" t="s">
        <v>166</v>
      </c>
      <c r="K24" s="260" t="s">
        <v>167</v>
      </c>
      <c r="L24" s="258"/>
      <c r="N24" s="260" t="s">
        <v>166</v>
      </c>
      <c r="O24" s="260" t="s">
        <v>167</v>
      </c>
      <c r="P24" s="258"/>
      <c r="R24" s="260" t="s">
        <v>166</v>
      </c>
      <c r="S24" s="260" t="s">
        <v>167</v>
      </c>
      <c r="T24" s="258"/>
      <c r="W24" s="284" t="s">
        <v>167</v>
      </c>
      <c r="X24" s="285">
        <f>'ESTOQUE PRINCIPAL CESTAS'!G8</f>
        <v>0</v>
      </c>
    </row>
    <row r="25" spans="2:24" ht="14.45" customHeight="1" x14ac:dyDescent="0.25">
      <c r="B25" s="288"/>
      <c r="C25" s="288"/>
      <c r="D25" s="258"/>
      <c r="F25" s="288"/>
      <c r="G25" s="288"/>
      <c r="H25" s="258"/>
      <c r="J25" s="288"/>
      <c r="K25" s="288"/>
      <c r="L25" s="258"/>
      <c r="N25" s="288"/>
      <c r="O25" s="288"/>
      <c r="P25" s="258"/>
      <c r="R25" s="259"/>
      <c r="S25" s="259"/>
      <c r="T25" s="258"/>
      <c r="W25" s="451" t="s">
        <v>212</v>
      </c>
      <c r="X25" s="451">
        <f>SUM(X20:X24)</f>
        <v>0</v>
      </c>
    </row>
    <row r="26" spans="2:24" ht="14.45" customHeight="1" x14ac:dyDescent="0.25">
      <c r="W26" s="451"/>
      <c r="X26" s="451"/>
    </row>
    <row r="27" spans="2:24" ht="14.45" customHeight="1" x14ac:dyDescent="0.25">
      <c r="B27" s="257" t="s">
        <v>82</v>
      </c>
      <c r="C27" s="457">
        <f>B23+C23+D23+B25+C25</f>
        <v>0</v>
      </c>
      <c r="D27" s="458"/>
      <c r="F27" s="257" t="s">
        <v>82</v>
      </c>
      <c r="G27" s="457">
        <f>F23+G23+H23+F25+G25</f>
        <v>0</v>
      </c>
      <c r="H27" s="458"/>
      <c r="J27" s="257" t="s">
        <v>82</v>
      </c>
      <c r="K27" s="457">
        <f>J23+K23+L23+J25+K25</f>
        <v>0</v>
      </c>
      <c r="L27" s="458"/>
      <c r="N27" s="257" t="s">
        <v>82</v>
      </c>
      <c r="O27" s="457">
        <f>N23+O23+P23+N25+O25</f>
        <v>0</v>
      </c>
      <c r="P27" s="458"/>
      <c r="R27" s="257" t="s">
        <v>82</v>
      </c>
      <c r="S27" s="457">
        <f>R23+S23+T23+R25+S25</f>
        <v>0</v>
      </c>
      <c r="T27" s="458"/>
    </row>
    <row r="28" spans="2:24" ht="14.45" customHeight="1" x14ac:dyDescent="0.25"/>
    <row r="29" spans="2:24" ht="14.45" customHeight="1" x14ac:dyDescent="0.25">
      <c r="B29" s="455" t="s">
        <v>192</v>
      </c>
      <c r="C29" s="455"/>
      <c r="D29" s="455"/>
      <c r="E29"/>
      <c r="F29" s="455" t="s">
        <v>193</v>
      </c>
      <c r="G29" s="455"/>
      <c r="H29" s="455"/>
      <c r="J29" s="455" t="s">
        <v>194</v>
      </c>
      <c r="K29" s="455"/>
      <c r="L29" s="455"/>
      <c r="N29" s="455" t="s">
        <v>195</v>
      </c>
      <c r="O29" s="455"/>
      <c r="P29" s="455"/>
      <c r="R29" s="455" t="s">
        <v>197</v>
      </c>
      <c r="S29" s="455"/>
      <c r="T29" s="455"/>
    </row>
    <row r="30" spans="2:24" ht="14.45" customHeight="1" x14ac:dyDescent="0.25">
      <c r="B30" s="260" t="s">
        <v>163</v>
      </c>
      <c r="C30" s="260" t="s">
        <v>164</v>
      </c>
      <c r="D30" s="260" t="s">
        <v>165</v>
      </c>
      <c r="E30"/>
      <c r="F30" s="260" t="s">
        <v>163</v>
      </c>
      <c r="G30" s="260" t="s">
        <v>164</v>
      </c>
      <c r="H30" s="260" t="s">
        <v>165</v>
      </c>
      <c r="J30" s="260" t="s">
        <v>163</v>
      </c>
      <c r="K30" s="260" t="s">
        <v>164</v>
      </c>
      <c r="L30" s="260" t="s">
        <v>165</v>
      </c>
      <c r="N30" s="260" t="s">
        <v>163</v>
      </c>
      <c r="O30" s="260" t="s">
        <v>164</v>
      </c>
      <c r="P30" s="260" t="s">
        <v>165</v>
      </c>
      <c r="R30" s="260" t="s">
        <v>163</v>
      </c>
      <c r="S30" s="260" t="s">
        <v>164</v>
      </c>
      <c r="T30" s="260" t="s">
        <v>165</v>
      </c>
    </row>
    <row r="31" spans="2:24" ht="14.45" customHeight="1" x14ac:dyDescent="0.25">
      <c r="B31" s="288"/>
      <c r="C31" s="288"/>
      <c r="D31" s="288"/>
      <c r="E31"/>
      <c r="F31" s="288"/>
      <c r="G31" s="288"/>
      <c r="H31" s="288"/>
      <c r="J31" s="288"/>
      <c r="K31" s="288"/>
      <c r="L31" s="288"/>
      <c r="N31" s="288"/>
      <c r="O31" s="288"/>
      <c r="P31" s="288"/>
      <c r="R31" s="288"/>
      <c r="S31" s="288"/>
      <c r="T31" s="288"/>
    </row>
    <row r="32" spans="2:24" ht="14.25" customHeight="1" x14ac:dyDescent="0.25">
      <c r="B32" s="260" t="s">
        <v>166</v>
      </c>
      <c r="C32" s="260" t="s">
        <v>167</v>
      </c>
      <c r="D32" s="258"/>
      <c r="F32" s="260" t="s">
        <v>166</v>
      </c>
      <c r="G32" s="260" t="s">
        <v>167</v>
      </c>
      <c r="H32" s="258"/>
      <c r="J32" s="260" t="s">
        <v>166</v>
      </c>
      <c r="K32" s="260" t="s">
        <v>167</v>
      </c>
      <c r="L32" s="258"/>
      <c r="N32" s="260" t="s">
        <v>166</v>
      </c>
      <c r="O32" s="260" t="s">
        <v>167</v>
      </c>
      <c r="P32" s="258"/>
      <c r="R32" s="260" t="s">
        <v>166</v>
      </c>
      <c r="S32" s="260" t="s">
        <v>167</v>
      </c>
      <c r="T32" s="258"/>
    </row>
    <row r="33" spans="2:20" ht="14.45" customHeight="1" x14ac:dyDescent="0.25">
      <c r="B33" s="288"/>
      <c r="C33" s="288"/>
      <c r="D33" s="258"/>
      <c r="F33" s="288"/>
      <c r="G33" s="288"/>
      <c r="H33" s="258"/>
      <c r="J33" s="288"/>
      <c r="K33" s="288"/>
      <c r="L33" s="258"/>
      <c r="N33" s="288"/>
      <c r="O33" s="288"/>
      <c r="P33" s="258"/>
      <c r="R33" s="288"/>
      <c r="S33" s="288"/>
      <c r="T33" s="258"/>
    </row>
    <row r="34" spans="2:20" ht="14.45" customHeight="1" x14ac:dyDescent="0.25"/>
    <row r="35" spans="2:20" ht="14.45" customHeight="1" x14ac:dyDescent="0.25">
      <c r="B35" s="257" t="s">
        <v>82</v>
      </c>
      <c r="C35" s="457">
        <f>B31+C31+D31+B33+C33</f>
        <v>0</v>
      </c>
      <c r="D35" s="458"/>
      <c r="F35" s="257" t="s">
        <v>82</v>
      </c>
      <c r="G35" s="457">
        <f>F31+G31+H31+F33+G33</f>
        <v>0</v>
      </c>
      <c r="H35" s="458"/>
      <c r="J35" s="257" t="s">
        <v>82</v>
      </c>
      <c r="K35" s="457">
        <f>J31+K31+L31+J33+K33</f>
        <v>0</v>
      </c>
      <c r="L35" s="458"/>
      <c r="N35" s="257" t="s">
        <v>82</v>
      </c>
      <c r="O35" s="457">
        <f>N31+O31+P31+N33+O33</f>
        <v>0</v>
      </c>
      <c r="P35" s="458"/>
      <c r="R35" s="257" t="s">
        <v>82</v>
      </c>
      <c r="S35" s="457">
        <f>R31+S31+T31+R33+S33</f>
        <v>0</v>
      </c>
      <c r="T35" s="458"/>
    </row>
    <row r="36" spans="2:20" ht="14.45" customHeight="1" x14ac:dyDescent="0.25"/>
    <row r="37" spans="2:20" ht="14.45" customHeight="1" x14ac:dyDescent="0.25">
      <c r="B37" s="455" t="s">
        <v>198</v>
      </c>
      <c r="C37" s="455"/>
      <c r="D37" s="455"/>
      <c r="E37"/>
      <c r="F37" s="455" t="s">
        <v>199</v>
      </c>
      <c r="G37" s="455"/>
      <c r="H37" s="455"/>
      <c r="J37" s="455" t="s">
        <v>200</v>
      </c>
      <c r="K37" s="455"/>
      <c r="L37" s="455"/>
      <c r="N37" s="455" t="s">
        <v>201</v>
      </c>
      <c r="O37" s="455"/>
      <c r="P37" s="455"/>
      <c r="R37" s="462" t="s">
        <v>170</v>
      </c>
      <c r="S37" s="462"/>
      <c r="T37" s="462"/>
    </row>
    <row r="38" spans="2:20" ht="14.45" customHeight="1" x14ac:dyDescent="0.25">
      <c r="B38" s="260" t="s">
        <v>163</v>
      </c>
      <c r="C38" s="260" t="s">
        <v>164</v>
      </c>
      <c r="D38" s="260" t="s">
        <v>165</v>
      </c>
      <c r="E38"/>
      <c r="F38" s="260" t="s">
        <v>163</v>
      </c>
      <c r="G38" s="260" t="s">
        <v>164</v>
      </c>
      <c r="H38" s="260" t="s">
        <v>165</v>
      </c>
      <c r="J38" s="260" t="s">
        <v>163</v>
      </c>
      <c r="K38" s="260" t="s">
        <v>164</v>
      </c>
      <c r="L38" s="260" t="s">
        <v>165</v>
      </c>
      <c r="N38" s="260" t="s">
        <v>163</v>
      </c>
      <c r="O38" s="260" t="s">
        <v>164</v>
      </c>
      <c r="P38" s="260" t="s">
        <v>165</v>
      </c>
      <c r="R38" s="274" t="s">
        <v>163</v>
      </c>
      <c r="S38" s="274" t="s">
        <v>164</v>
      </c>
      <c r="T38" s="274" t="s">
        <v>165</v>
      </c>
    </row>
    <row r="39" spans="2:20" ht="14.45" customHeight="1" x14ac:dyDescent="0.25">
      <c r="B39" s="288"/>
      <c r="C39" s="288"/>
      <c r="D39" s="288"/>
      <c r="E39"/>
      <c r="F39" s="288"/>
      <c r="G39" s="288"/>
      <c r="H39" s="288"/>
      <c r="J39" s="288"/>
      <c r="K39" s="288"/>
      <c r="L39" s="288"/>
      <c r="N39" s="288"/>
      <c r="O39" s="288"/>
      <c r="P39" s="288"/>
      <c r="R39" s="289"/>
      <c r="S39" s="289"/>
      <c r="T39" s="289"/>
    </row>
    <row r="40" spans="2:20" ht="14.45" customHeight="1" x14ac:dyDescent="0.25">
      <c r="B40" s="260" t="s">
        <v>166</v>
      </c>
      <c r="C40" s="260" t="s">
        <v>167</v>
      </c>
      <c r="D40" s="258"/>
      <c r="F40" s="260" t="s">
        <v>166</v>
      </c>
      <c r="G40" s="260" t="s">
        <v>167</v>
      </c>
      <c r="H40" s="258"/>
      <c r="J40" s="260" t="s">
        <v>166</v>
      </c>
      <c r="K40" s="260" t="s">
        <v>167</v>
      </c>
      <c r="L40" s="258"/>
      <c r="N40" s="260" t="s">
        <v>166</v>
      </c>
      <c r="O40" s="260" t="s">
        <v>167</v>
      </c>
      <c r="P40" s="258"/>
      <c r="R40" s="274" t="s">
        <v>166</v>
      </c>
      <c r="S40" s="274" t="s">
        <v>167</v>
      </c>
      <c r="T40" s="273"/>
    </row>
    <row r="41" spans="2:20" ht="14.45" customHeight="1" x14ac:dyDescent="0.25">
      <c r="B41" s="288"/>
      <c r="C41" s="288"/>
      <c r="D41" s="258"/>
      <c r="F41" s="288"/>
      <c r="G41" s="288"/>
      <c r="H41" s="258"/>
      <c r="J41" s="288"/>
      <c r="K41" s="288"/>
      <c r="L41" s="258"/>
      <c r="N41" s="288"/>
      <c r="O41" s="288"/>
      <c r="P41" s="258"/>
      <c r="R41" s="289"/>
      <c r="S41" s="289"/>
      <c r="T41" s="273"/>
    </row>
    <row r="42" spans="2:20" ht="14.45" customHeight="1" x14ac:dyDescent="0.25">
      <c r="R42" s="266"/>
      <c r="S42" s="266"/>
      <c r="T42" s="266"/>
    </row>
    <row r="43" spans="2:20" ht="14.45" customHeight="1" x14ac:dyDescent="0.25">
      <c r="B43" s="257" t="s">
        <v>82</v>
      </c>
      <c r="C43" s="457">
        <f>B39+C39+D39+B41+C41</f>
        <v>0</v>
      </c>
      <c r="D43" s="458"/>
      <c r="F43" s="257" t="s">
        <v>82</v>
      </c>
      <c r="G43" s="457">
        <f>F39+G39+H39+F41+G41</f>
        <v>0</v>
      </c>
      <c r="H43" s="458"/>
      <c r="J43" s="257" t="s">
        <v>82</v>
      </c>
      <c r="K43" s="457">
        <f>J39+K39+L39+J41+K41</f>
        <v>0</v>
      </c>
      <c r="L43" s="458"/>
      <c r="N43" s="257" t="s">
        <v>82</v>
      </c>
      <c r="O43" s="457">
        <f>N39+O39+P39+N41+O41</f>
        <v>0</v>
      </c>
      <c r="P43" s="458"/>
      <c r="R43" s="275" t="s">
        <v>82</v>
      </c>
      <c r="S43" s="460">
        <f>R39+S39+T39+R41+S41</f>
        <v>0</v>
      </c>
      <c r="T43" s="461"/>
    </row>
    <row r="44" spans="2:20" ht="14.45" customHeight="1" x14ac:dyDescent="0.25"/>
    <row r="45" spans="2:20" ht="14.45" hidden="1" customHeight="1" x14ac:dyDescent="0.25"/>
    <row r="46" spans="2:20" ht="14.45" hidden="1" customHeight="1" x14ac:dyDescent="0.25"/>
    <row r="47" spans="2:20" ht="14.45" hidden="1" customHeight="1" x14ac:dyDescent="0.25"/>
    <row r="48" spans="2:20" ht="14.45" hidden="1" customHeight="1" x14ac:dyDescent="0.25"/>
    <row r="49" ht="14.45" hidden="1" customHeight="1" x14ac:dyDescent="0.25"/>
    <row r="50" ht="14.45" hidden="1" customHeight="1" x14ac:dyDescent="0.25"/>
    <row r="51" ht="14.45" hidden="1" customHeight="1" x14ac:dyDescent="0.25"/>
    <row r="52" ht="14.45" hidden="1" customHeight="1" x14ac:dyDescent="0.25"/>
    <row r="53" ht="14.45" hidden="1" customHeight="1" x14ac:dyDescent="0.25"/>
    <row r="54" ht="14.45" hidden="1" customHeight="1" x14ac:dyDescent="0.25"/>
    <row r="55" ht="14.45" hidden="1" customHeight="1" x14ac:dyDescent="0.25"/>
    <row r="56" ht="14.45" hidden="1" customHeight="1" x14ac:dyDescent="0.25"/>
    <row r="57" ht="14.45" hidden="1" customHeight="1" x14ac:dyDescent="0.25"/>
    <row r="58" ht="14.45" hidden="1" customHeight="1" x14ac:dyDescent="0.25"/>
    <row r="59" ht="14.45" hidden="1" customHeight="1" x14ac:dyDescent="0.25"/>
    <row r="60" ht="14.45" hidden="1" customHeight="1" x14ac:dyDescent="0.25"/>
    <row r="61" ht="14.45" hidden="1" customHeight="1" x14ac:dyDescent="0.25"/>
    <row r="62" ht="14.45" hidden="1" customHeight="1" x14ac:dyDescent="0.25"/>
    <row r="63" ht="14.45" hidden="1" customHeight="1" x14ac:dyDescent="0.25"/>
    <row r="64" ht="14.45" hidden="1" customHeight="1" x14ac:dyDescent="0.25"/>
    <row r="65" ht="14.45" hidden="1" customHeight="1" x14ac:dyDescent="0.25"/>
    <row r="66" ht="14.45" hidden="1" customHeight="1" x14ac:dyDescent="0.25"/>
    <row r="67" ht="14.45" hidden="1" customHeight="1" x14ac:dyDescent="0.25"/>
    <row r="68" ht="14.45" hidden="1" customHeight="1" x14ac:dyDescent="0.25"/>
    <row r="69" ht="14.45" hidden="1" customHeight="1" x14ac:dyDescent="0.25"/>
    <row r="70" ht="14.45" hidden="1" customHeight="1" x14ac:dyDescent="0.25"/>
    <row r="71" ht="14.45" hidden="1" customHeight="1" x14ac:dyDescent="0.25"/>
    <row r="72" ht="14.45" hidden="1" customHeight="1" x14ac:dyDescent="0.25"/>
    <row r="73" ht="14.45" hidden="1" customHeight="1" x14ac:dyDescent="0.25"/>
    <row r="74" ht="14.45" hidden="1" customHeight="1" x14ac:dyDescent="0.25"/>
    <row r="75" ht="14.45" hidden="1" customHeight="1" x14ac:dyDescent="0.25"/>
    <row r="76" ht="14.45" hidden="1" customHeight="1" x14ac:dyDescent="0.25"/>
    <row r="77" ht="14.45" hidden="1" customHeight="1" x14ac:dyDescent="0.25"/>
    <row r="78" ht="14.45" hidden="1" customHeight="1" x14ac:dyDescent="0.25"/>
  </sheetData>
  <sheetProtection selectLockedCells="1"/>
  <mergeCells count="48">
    <mergeCell ref="W18:X18"/>
    <mergeCell ref="W25:W26"/>
    <mergeCell ref="X25:X26"/>
    <mergeCell ref="S43:T43"/>
    <mergeCell ref="C35:D35"/>
    <mergeCell ref="G35:H35"/>
    <mergeCell ref="K35:L35"/>
    <mergeCell ref="O35:P35"/>
    <mergeCell ref="S35:T35"/>
    <mergeCell ref="B37:D37"/>
    <mergeCell ref="F37:H37"/>
    <mergeCell ref="O43:P43"/>
    <mergeCell ref="J37:L37"/>
    <mergeCell ref="N37:P37"/>
    <mergeCell ref="R37:T37"/>
    <mergeCell ref="C43:D43"/>
    <mergeCell ref="G43:H43"/>
    <mergeCell ref="K43:L43"/>
    <mergeCell ref="C27:D27"/>
    <mergeCell ref="G27:H27"/>
    <mergeCell ref="K27:L27"/>
    <mergeCell ref="O27:P27"/>
    <mergeCell ref="S27:T27"/>
    <mergeCell ref="B29:D29"/>
    <mergeCell ref="F29:H29"/>
    <mergeCell ref="J29:L29"/>
    <mergeCell ref="N29:P29"/>
    <mergeCell ref="R29:T29"/>
    <mergeCell ref="B21:D21"/>
    <mergeCell ref="F21:H21"/>
    <mergeCell ref="R13:T13"/>
    <mergeCell ref="J21:L21"/>
    <mergeCell ref="N21:P21"/>
    <mergeCell ref="R21:T21"/>
    <mergeCell ref="C19:D19"/>
    <mergeCell ref="G19:H19"/>
    <mergeCell ref="K19:L19"/>
    <mergeCell ref="O19:P19"/>
    <mergeCell ref="S19:T19"/>
    <mergeCell ref="W14:W15"/>
    <mergeCell ref="X14:X15"/>
    <mergeCell ref="F7:G7"/>
    <mergeCell ref="H9:I9"/>
    <mergeCell ref="B11:T11"/>
    <mergeCell ref="B13:D13"/>
    <mergeCell ref="F13:H13"/>
    <mergeCell ref="J13:L13"/>
    <mergeCell ref="N13:P13"/>
  </mergeCells>
  <dataValidations count="2">
    <dataValidation type="list" allowBlank="1" showInputMessage="1" showErrorMessage="1" sqref="C9">
      <formula1>"Saída,Doação Saída,Permuta Saída,Perda"</formula1>
    </dataValidation>
    <dataValidation type="list" allowBlank="1" showInputMessage="1" showErrorMessage="1" sqref="J9">
      <formula1>"Adminstrador,Coordenador,Atendente"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AA9"/>
  <sheetViews>
    <sheetView showGridLines="0" showRowColHeaders="0" zoomScaleNormal="100" workbookViewId="0">
      <pane ySplit="8" topLeftCell="A18" activePane="bottomLeft" state="frozen"/>
      <selection activeCell="H26" sqref="H26"/>
      <selection pane="bottomLeft" activeCell="G25" sqref="G25"/>
    </sheetView>
  </sheetViews>
  <sheetFormatPr defaultColWidth="0" defaultRowHeight="15" x14ac:dyDescent="0.25"/>
  <cols>
    <col min="1" max="1" width="2.85546875" customWidth="1"/>
    <col min="2" max="2" width="10.7109375" bestFit="1" customWidth="1"/>
    <col min="3" max="3" width="10.7109375" customWidth="1"/>
    <col min="4" max="4" width="12.85546875" customWidth="1"/>
    <col min="5" max="5" width="13.28515625" style="141" bestFit="1" customWidth="1"/>
    <col min="6" max="6" width="28.42578125" style="272" bestFit="1" customWidth="1"/>
    <col min="7" max="8" width="10" customWidth="1"/>
    <col min="9" max="9" width="13" customWidth="1"/>
    <col min="10" max="10" width="12" customWidth="1"/>
    <col min="11" max="11" width="12.42578125" customWidth="1"/>
    <col min="12" max="12" width="12.5703125" customWidth="1"/>
    <col min="13" max="13" width="12.28515625" customWidth="1"/>
    <col min="14" max="14" width="2.85546875" customWidth="1"/>
    <col min="15" max="27" width="10.140625" hidden="1" customWidth="1"/>
    <col min="28" max="16384" width="9.140625" hidden="1"/>
  </cols>
  <sheetData>
    <row r="1" spans="1:27" s="14" customFormat="1" ht="15.75" customHeight="1" x14ac:dyDescent="0.25">
      <c r="E1" s="30"/>
      <c r="F1" s="268"/>
    </row>
    <row r="2" spans="1:27" s="14" customFormat="1" x14ac:dyDescent="0.25">
      <c r="E2" s="30"/>
      <c r="F2" s="268"/>
    </row>
    <row r="3" spans="1:27" s="15" customFormat="1" ht="9.75" customHeight="1" x14ac:dyDescent="0.25">
      <c r="E3" s="31"/>
      <c r="F3" s="269"/>
    </row>
    <row r="4" spans="1:27" ht="9.75" customHeight="1" x14ac:dyDescent="0.25">
      <c r="A4" s="23"/>
      <c r="B4" s="23"/>
      <c r="C4" s="23"/>
      <c r="D4" s="23"/>
      <c r="E4" s="32"/>
      <c r="F4" s="270"/>
      <c r="G4" s="23"/>
      <c r="H4" s="23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x14ac:dyDescent="0.25">
      <c r="A5" s="23"/>
      <c r="B5" s="23"/>
      <c r="C5" s="23"/>
      <c r="D5" s="23"/>
      <c r="E5" s="32"/>
      <c r="F5" s="270"/>
      <c r="G5" s="23"/>
      <c r="H5" s="23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7" spans="1:27" ht="7.5" customHeight="1" x14ac:dyDescent="0.25">
      <c r="B7" s="138"/>
      <c r="C7" s="138"/>
      <c r="D7" s="138"/>
      <c r="E7" s="147"/>
      <c r="F7" s="271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</row>
    <row r="8" spans="1:27" x14ac:dyDescent="0.25">
      <c r="B8" s="142" t="s">
        <v>12</v>
      </c>
      <c r="C8" s="258" t="s">
        <v>182</v>
      </c>
      <c r="D8" s="146" t="s">
        <v>140</v>
      </c>
      <c r="E8" s="145" t="s">
        <v>20</v>
      </c>
      <c r="F8" s="253" t="s">
        <v>181</v>
      </c>
      <c r="G8" s="258" t="s">
        <v>180</v>
      </c>
      <c r="H8" s="258" t="s">
        <v>179</v>
      </c>
      <c r="I8" s="258" t="s">
        <v>178</v>
      </c>
      <c r="J8" s="258" t="s">
        <v>177</v>
      </c>
      <c r="K8" s="258" t="s">
        <v>176</v>
      </c>
      <c r="L8" s="258" t="s">
        <v>175</v>
      </c>
      <c r="M8" s="258" t="s">
        <v>18</v>
      </c>
    </row>
    <row r="9" spans="1:27" x14ac:dyDescent="0.25">
      <c r="B9" s="142"/>
      <c r="C9" s="144"/>
      <c r="D9" s="144"/>
      <c r="E9" s="143"/>
      <c r="F9" s="286"/>
      <c r="G9" s="287"/>
      <c r="H9" s="287"/>
      <c r="I9" s="287"/>
      <c r="J9" s="287"/>
      <c r="K9" s="287"/>
      <c r="L9" s="287"/>
      <c r="M9" s="258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CADASTRO</vt:lpstr>
      <vt:lpstr>ENTRADA | SAIDA</vt:lpstr>
      <vt:lpstr>ESTOQUE</vt:lpstr>
      <vt:lpstr>CESTAS</vt:lpstr>
      <vt:lpstr>MONTAGEM CESTA</vt:lpstr>
      <vt:lpstr>CESTAS MONTADAS</vt:lpstr>
      <vt:lpstr>RELATORIOS</vt:lpstr>
      <vt:lpstr>DASHBOARD GERAL</vt:lpstr>
      <vt:lpstr>DASHBOARD CESTAS</vt:lpstr>
      <vt:lpstr>Lista</vt:lpstr>
      <vt:lpstr>ESTOQUE PRINCIPAL CESTAS</vt:lpstr>
      <vt:lpstr>SEPARAÇÃO DE CESTAS</vt:lpstr>
      <vt:lpstr>ABASTECIMENTO POSTOS</vt:lpstr>
      <vt:lpstr>Lista!ITENS_CESTA</vt:lpstr>
      <vt:lpstr>CADASTRO!Tela_Zoom</vt:lpstr>
      <vt:lpstr>CESTAS!Tela_Zoom</vt:lpstr>
      <vt:lpstr>'CESTAS MONTADAS'!Tela_Zoom</vt:lpstr>
      <vt:lpstr>'DASHBOARD CESTAS'!Tela_Zoom</vt:lpstr>
      <vt:lpstr>'DASHBOARD GERAL'!Tela_Zoom</vt:lpstr>
      <vt:lpstr>'ENTRADA | SAIDA'!Tela_Zoom</vt:lpstr>
      <vt:lpstr>ESTOQUE!Tela_Zoom</vt:lpstr>
      <vt:lpstr>'MONTAGEM CESTA'!Tela_Zoom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Pamela Stefani Batista Lemos</dc:creator>
  <cp:lastModifiedBy>Pamela Stefani Batista Lemos</cp:lastModifiedBy>
  <cp:lastPrinted>2023-01-03T00:52:29Z</cp:lastPrinted>
  <dcterms:created xsi:type="dcterms:W3CDTF">2022-09-05T17:22:37Z</dcterms:created>
  <dcterms:modified xsi:type="dcterms:W3CDTF">2023-01-03T02:35:39Z</dcterms:modified>
</cp:coreProperties>
</file>